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/>
  <mc:AlternateContent xmlns:mc="http://schemas.openxmlformats.org/markup-compatibility/2006">
    <mc:Choice Requires="x15">
      <x15ac:absPath xmlns:x15ac="http://schemas.microsoft.com/office/spreadsheetml/2010/11/ac" url="D:\JS\_JS_\excel-test\"/>
    </mc:Choice>
  </mc:AlternateContent>
  <xr:revisionPtr revIDLastSave="0" documentId="13_ncr:1_{CF6D9AB4-D619-4003-934B-0EDB5CEE8C59}" xr6:coauthVersionLast="47" xr6:coauthVersionMax="47" xr10:uidLastSave="{00000000-0000-0000-0000-000000000000}"/>
  <bookViews>
    <workbookView xWindow="9195" yWindow="0" windowWidth="19605" windowHeight="15480" xr2:uid="{7A671FCD-0567-41E1-BF11-3ADB6F4B1C76}"/>
  </bookViews>
  <sheets>
    <sheet name="Лист1" sheetId="1" r:id="rId1"/>
  </sheets>
  <externalReferences>
    <externalReference r:id="rId2"/>
  </externalReferences>
  <definedNames>
    <definedName name="_xlnm._FilterDatabase" localSheetId="0" hidden="1">Лист1!$A$1:$Q$62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</calcChain>
</file>

<file path=xl/sharedStrings.xml><?xml version="1.0" encoding="utf-8"?>
<sst xmlns="http://schemas.openxmlformats.org/spreadsheetml/2006/main" count="650" uniqueCount="252">
  <si>
    <t>Полянская</t>
  </si>
  <si>
    <t>Наталия</t>
  </si>
  <si>
    <t>Михайловна</t>
  </si>
  <si>
    <t>nataha.polyana1212@mail.ru</t>
  </si>
  <si>
    <t>Оказание первой помощи в условиях учебно-воспитательного процесса</t>
  </si>
  <si>
    <t>Институт биологии и химии</t>
  </si>
  <si>
    <t>Программа повышения квалификации</t>
  </si>
  <si>
    <t>МПГУ</t>
  </si>
  <si>
    <t>Без округа</t>
  </si>
  <si>
    <t>На рассмотрении</t>
  </si>
  <si>
    <t>Лебедев</t>
  </si>
  <si>
    <t>Юрий</t>
  </si>
  <si>
    <t>Григорьевич</t>
  </si>
  <si>
    <t>guvr.62@mail.ru</t>
  </si>
  <si>
    <t>Подготовка пилотов-операторов беспилотных летательных аппаратов типа мультикоптеров</t>
  </si>
  <si>
    <t>гБПОУ ОКГ Столица</t>
  </si>
  <si>
    <t>guvr.622@gmail.com</t>
  </si>
  <si>
    <t>ГБПОУ ОКГ Столица</t>
  </si>
  <si>
    <t>Фефелов</t>
  </si>
  <si>
    <t>Олег</t>
  </si>
  <si>
    <t>Николаевич</t>
  </si>
  <si>
    <t>olegaalpinist2056@yandex.ru</t>
  </si>
  <si>
    <t>ГБПОУ ОКГ "Столица"</t>
  </si>
  <si>
    <t>Чеснокова</t>
  </si>
  <si>
    <t>Алена</t>
  </si>
  <si>
    <t>Владимировна</t>
  </si>
  <si>
    <t>aleeenachesnokova@mail.ru</t>
  </si>
  <si>
    <t>Преподавание химии в школе</t>
  </si>
  <si>
    <t>Программа переподготовки</t>
  </si>
  <si>
    <t>НИТУ МИСИС</t>
  </si>
  <si>
    <t>Буранова</t>
  </si>
  <si>
    <t>Сурайё</t>
  </si>
  <si>
    <t>Аслитдиновна</t>
  </si>
  <si>
    <t>artykova.2003@mail.ru</t>
  </si>
  <si>
    <t>Ковалева</t>
  </si>
  <si>
    <t>Ксения</t>
  </si>
  <si>
    <t>imperbull@yandex.ru</t>
  </si>
  <si>
    <t>РХТУ им Д.И. Менделеева</t>
  </si>
  <si>
    <t>Сапронова</t>
  </si>
  <si>
    <t>Мария</t>
  </si>
  <si>
    <t>Александровна</t>
  </si>
  <si>
    <t>sawaluba071913@gmail.com</t>
  </si>
  <si>
    <t>МОУ "Рождественская СОШ"</t>
  </si>
  <si>
    <t>Морозов</t>
  </si>
  <si>
    <t>Тимофей</t>
  </si>
  <si>
    <t>Андреевич</t>
  </si>
  <si>
    <t>zapasnoykaizer@gmail.com</t>
  </si>
  <si>
    <t>РТУ МИРЭА</t>
  </si>
  <si>
    <t>Алексютенкова</t>
  </si>
  <si>
    <t>Злата</t>
  </si>
  <si>
    <t>zltlexa@gmail.com</t>
  </si>
  <si>
    <t>МИСИС</t>
  </si>
  <si>
    <t>Тотич</t>
  </si>
  <si>
    <t>Елизавета</t>
  </si>
  <si>
    <t>Илиинична</t>
  </si>
  <si>
    <t>ElizavetaFox11@mail.ru</t>
  </si>
  <si>
    <t>МПГУ ФДПиП</t>
  </si>
  <si>
    <t>Васильева</t>
  </si>
  <si>
    <t>Татьяна</t>
  </si>
  <si>
    <t>tmvasilieva@gmail.com</t>
  </si>
  <si>
    <t>МФТИ</t>
  </si>
  <si>
    <t>Клыкова</t>
  </si>
  <si>
    <t>m_a_klykova@ro.ru</t>
  </si>
  <si>
    <t>Сергеева</t>
  </si>
  <si>
    <t>Екатерина</t>
  </si>
  <si>
    <t>Сергеевна</t>
  </si>
  <si>
    <t>sergeeva.caterin92@gmail.com</t>
  </si>
  <si>
    <t>РХТУ им. Д. И. Менделеева</t>
  </si>
  <si>
    <t>Маринина</t>
  </si>
  <si>
    <t>Марина</t>
  </si>
  <si>
    <t>amarina04@mail.ru</t>
  </si>
  <si>
    <t>Титова</t>
  </si>
  <si>
    <t>Ольга</t>
  </si>
  <si>
    <t>nad.fors@yandex.ru</t>
  </si>
  <si>
    <t>РХТУ им.Менделеева</t>
  </si>
  <si>
    <t>Шеламова</t>
  </si>
  <si>
    <t>Ирина</t>
  </si>
  <si>
    <t>Андреевна</t>
  </si>
  <si>
    <t>iren_bolshakova2000@mail.ru</t>
  </si>
  <si>
    <t>РХТУ им. Д.И. Менделеева</t>
  </si>
  <si>
    <t>Григорьева</t>
  </si>
  <si>
    <t>Елена</t>
  </si>
  <si>
    <t>elgr99@yandex.ru</t>
  </si>
  <si>
    <t>Аксенова</t>
  </si>
  <si>
    <t>Викторовна</t>
  </si>
  <si>
    <t>Chekko86@mail.ru</t>
  </si>
  <si>
    <t>Биология</t>
  </si>
  <si>
    <t>Тренделова</t>
  </si>
  <si>
    <t>Алексеевна</t>
  </si>
  <si>
    <t>tatiana_tren@mail.ru</t>
  </si>
  <si>
    <t>Бондаренко</t>
  </si>
  <si>
    <t>Анатольевна</t>
  </si>
  <si>
    <t>gerl229@rambler.ru</t>
  </si>
  <si>
    <t>Спирова</t>
  </si>
  <si>
    <t>Борисовна</t>
  </si>
  <si>
    <t>kbspirova@gmail.com</t>
  </si>
  <si>
    <t>Институт ветеринарной медицина Омский аграрный университет</t>
  </si>
  <si>
    <t>Скрипина</t>
  </si>
  <si>
    <t>Наталья</t>
  </si>
  <si>
    <t>skrip1975@list.ru</t>
  </si>
  <si>
    <t>Вятский Государственный университет</t>
  </si>
  <si>
    <t>Тренделева</t>
  </si>
  <si>
    <t>Белова</t>
  </si>
  <si>
    <t>Полина</t>
  </si>
  <si>
    <t>Петровна</t>
  </si>
  <si>
    <t>polina-kuzemkina@mail.ru</t>
  </si>
  <si>
    <t>Преподавание биологии в общеобразовательных организациях</t>
  </si>
  <si>
    <t>Логвинова</t>
  </si>
  <si>
    <t>Дарья</t>
  </si>
  <si>
    <t>logvinova.derya@yandex.ru</t>
  </si>
  <si>
    <t>МГАВМиБ им. К. И. Скрябина</t>
  </si>
  <si>
    <t>Кудякова</t>
  </si>
  <si>
    <t>Гюзель</t>
  </si>
  <si>
    <t>Амировна</t>
  </si>
  <si>
    <t>Gyuzel.kudyakova@yandex.ru</t>
  </si>
  <si>
    <t>ПМГМУ имени Сеченова</t>
  </si>
  <si>
    <t>Потанин</t>
  </si>
  <si>
    <t>Сергей</t>
  </si>
  <si>
    <t>Вячеславович</t>
  </si>
  <si>
    <t>serg3ipotanin@yandex.com</t>
  </si>
  <si>
    <t>ГБОУ Донецкий профессионально -педагогический колледж</t>
  </si>
  <si>
    <t>Gerl229@rambler.ru</t>
  </si>
  <si>
    <t>Трефилова</t>
  </si>
  <si>
    <t>Анастасия</t>
  </si>
  <si>
    <t>Barahtenkon@mail.ru</t>
  </si>
  <si>
    <t>Учитель биологии</t>
  </si>
  <si>
    <t>Карягина</t>
  </si>
  <si>
    <t>Олеговна</t>
  </si>
  <si>
    <t>KsenKaryagina@mail.ru</t>
  </si>
  <si>
    <t>МГАВМиБ - МВА имени К. И. Скрябина</t>
  </si>
  <si>
    <t>Сумина</t>
  </si>
  <si>
    <t>Дмитриевна</t>
  </si>
  <si>
    <t>ksumina66@mail.ru</t>
  </si>
  <si>
    <t>«Московская государственная академия ветеринарной медицины и биотехнологии – МВА имени К. И. Скрябина»</t>
  </si>
  <si>
    <t>Имранова</t>
  </si>
  <si>
    <t>Эльнара</t>
  </si>
  <si>
    <t>Тагировна</t>
  </si>
  <si>
    <t>elyaimr@mail.ru</t>
  </si>
  <si>
    <t>РУДН</t>
  </si>
  <si>
    <t>Стручкова</t>
  </si>
  <si>
    <t>lizailkina@yandex.ru</t>
  </si>
  <si>
    <t>Свисткова</t>
  </si>
  <si>
    <t>Виолетта</t>
  </si>
  <si>
    <t>uganovavioletta@gmail.com</t>
  </si>
  <si>
    <t>РГГУ</t>
  </si>
  <si>
    <t>Шрамова</t>
  </si>
  <si>
    <t>Николаевна</t>
  </si>
  <si>
    <t>mshramovs@gmail.com</t>
  </si>
  <si>
    <t>ФГБОУ ВО Великолукская ГСХА</t>
  </si>
  <si>
    <t>Еременко</t>
  </si>
  <si>
    <t>Анна</t>
  </si>
  <si>
    <t>Леонидовна</t>
  </si>
  <si>
    <t>fiolent-1132@yandex.ru</t>
  </si>
  <si>
    <t>СибГТУ</t>
  </si>
  <si>
    <t>Минишева</t>
  </si>
  <si>
    <t>Валентина</t>
  </si>
  <si>
    <t>Рашитовна</t>
  </si>
  <si>
    <t>vaminisheva@gmail.com</t>
  </si>
  <si>
    <t>РНИМУ имени Н. И. Пирогова</t>
  </si>
  <si>
    <t>Машарипова</t>
  </si>
  <si>
    <t>Зулайха</t>
  </si>
  <si>
    <t>Юсуповна</t>
  </si>
  <si>
    <t>zulyamasharipova@yandex.ru</t>
  </si>
  <si>
    <t>Федеральное государственное автономное образовательное учреждение высшего образования "Российский университет дружбы народов имени Патриса Лумумбы"</t>
  </si>
  <si>
    <t>Сухобокова</t>
  </si>
  <si>
    <t>ovsteacher@yandex.ru</t>
  </si>
  <si>
    <t>Ерижепова</t>
  </si>
  <si>
    <t>Дина</t>
  </si>
  <si>
    <t>Суюндуковна</t>
  </si>
  <si>
    <t>erizhepova95@mail.ru</t>
  </si>
  <si>
    <t>СГАУ им Н. И. Вавилова</t>
  </si>
  <si>
    <t>Владиславовна</t>
  </si>
  <si>
    <t>Polina171717@mail.ru</t>
  </si>
  <si>
    <t>МГППУ</t>
  </si>
  <si>
    <t>Маркелова</t>
  </si>
  <si>
    <t>Юлия</t>
  </si>
  <si>
    <t>julymarkusha@mail.ru</t>
  </si>
  <si>
    <t>-</t>
  </si>
  <si>
    <t>Гаоу школа 548</t>
  </si>
  <si>
    <t>Кондратьева</t>
  </si>
  <si>
    <t>Эльмира</t>
  </si>
  <si>
    <t>vladimira_ch@mail.ru</t>
  </si>
  <si>
    <t>Емельянова</t>
  </si>
  <si>
    <t>liza1990e@gmail.com</t>
  </si>
  <si>
    <t>Школа Лидер</t>
  </si>
  <si>
    <t>Кривопалов</t>
  </si>
  <si>
    <t>Владислав</t>
  </si>
  <si>
    <t>Сергеевич</t>
  </si>
  <si>
    <t>krivolapov.711@gmail.com</t>
  </si>
  <si>
    <t>Преподаватель-организатор основ безопасности и защиты Родины (исключительно ЭОиДОТ)</t>
  </si>
  <si>
    <t>Овсеевич</t>
  </si>
  <si>
    <t>Кристина</t>
  </si>
  <si>
    <t>Георгиевна</t>
  </si>
  <si>
    <t>Kristina_georgievna@mail.ru</t>
  </si>
  <si>
    <t>Долженок</t>
  </si>
  <si>
    <t>Ольга дмитриевна</t>
  </si>
  <si>
    <t>Martinchicstyle@gmail.com</t>
  </si>
  <si>
    <t>Ландшафтное проектирование и строительство</t>
  </si>
  <si>
    <t>Общеразвивающая программа</t>
  </si>
  <si>
    <t>Уразова</t>
  </si>
  <si>
    <t>Алла</t>
  </si>
  <si>
    <t>aliceurazova@gmail.com</t>
  </si>
  <si>
    <t>Школа прикладной биотехнологии и молекулярной биологии</t>
  </si>
  <si>
    <t>Полянская Наталия Михайловна</t>
  </si>
  <si>
    <t>Лебедев Юрий Григорьевич</t>
  </si>
  <si>
    <t>Фефелов Олег Николаевич</t>
  </si>
  <si>
    <t>Чеснокова Алена Владимировна</t>
  </si>
  <si>
    <t>Буранова Сурайё Аслитдиновна</t>
  </si>
  <si>
    <t>Ковалева Ксения Михайловна</t>
  </si>
  <si>
    <t>Сапронова Мария Александровна</t>
  </si>
  <si>
    <t>Морозов Тимофей Андреевич</t>
  </si>
  <si>
    <t>Алексютенкова Злата Владимировна</t>
  </si>
  <si>
    <t>Тотич Елизавета Илиинична</t>
  </si>
  <si>
    <t>Васильева Татьяна Михайловна</t>
  </si>
  <si>
    <t>Клыкова Мария Александровна</t>
  </si>
  <si>
    <t>Сергеева Екатерина Сергеевна</t>
  </si>
  <si>
    <t>Маринина Марина Сергеевна</t>
  </si>
  <si>
    <t xml:space="preserve">Титова Ольга </t>
  </si>
  <si>
    <t>Шеламова Ирина Андреевна</t>
  </si>
  <si>
    <t>Григорьева Елена Александровна</t>
  </si>
  <si>
    <t>Аксенова Мария Викторовна</t>
  </si>
  <si>
    <t>Тренделова Татьяна Алексеевна</t>
  </si>
  <si>
    <t>Бондаренко Ирина Анатольевна</t>
  </si>
  <si>
    <t>Спирова Екатерина Борисовна</t>
  </si>
  <si>
    <t xml:space="preserve">Скрипина Наталья </t>
  </si>
  <si>
    <t>Тренделева Татьяна Алексеевна</t>
  </si>
  <si>
    <t>Белова Полина Петровна</t>
  </si>
  <si>
    <t>Логвинова Дарья Алексеевна</t>
  </si>
  <si>
    <t>Кудякова Гюзель Амировна</t>
  </si>
  <si>
    <t>Потанин Сергей Вячеславович</t>
  </si>
  <si>
    <t xml:space="preserve">Потанин Сергей </t>
  </si>
  <si>
    <t>Трефилова Анастасия Александровна</t>
  </si>
  <si>
    <t>Карягина Ксения Олеговна</t>
  </si>
  <si>
    <t>Сумина Ксения Дмитриевна</t>
  </si>
  <si>
    <t>Имранова Эльнара Тагировна</t>
  </si>
  <si>
    <t>Стручкова Елизавета Андреевна</t>
  </si>
  <si>
    <t>Свисткова Виолетта Михайловна</t>
  </si>
  <si>
    <t>Шрамова Мария Николаевна</t>
  </si>
  <si>
    <t>Еременко Анна Леонидовна</t>
  </si>
  <si>
    <t>Минишева Валентина Рашитовна</t>
  </si>
  <si>
    <t>Машарипова Зулайха Юсуповна</t>
  </si>
  <si>
    <t>Сухобокова Ольга Владимировна</t>
  </si>
  <si>
    <t>Ерижепова Дина Суюндуковна</t>
  </si>
  <si>
    <t>Ковалева Полина Владиславовна</t>
  </si>
  <si>
    <t>Маркелова Юлия Владимировна</t>
  </si>
  <si>
    <t>Кондратьева Эльмира Владимировна</t>
  </si>
  <si>
    <t>Емельянова Елизавета Алексеевна</t>
  </si>
  <si>
    <t>Кривопалов Владислав Сергеевич</t>
  </si>
  <si>
    <t>Овсеевич Кристина Георгиевна</t>
  </si>
  <si>
    <t xml:space="preserve">Долженок Ольга дмитриевна </t>
  </si>
  <si>
    <t xml:space="preserve">Уразова Алла </t>
  </si>
  <si>
    <t>Привет, Бэкенд!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</si>
</sst>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  <charset val="204"/>
    </font>
    <font>
      <sz val="14"/>
      <color rgb="FF000000"/>
      <name val="Helvetica"/>
      <family val="2"/>
    </font>
    <font>
      <sz val="14"/>
      <color rgb="FF0000FF"/>
      <name val="Helvetica"/>
      <family val="2"/>
    </font>
    <font>
      <u/>
      <sz val="12"/>
      <color theme="10"/>
      <name val="Times New Roman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5FFFF"/>
        <bgColor indexed="64"/>
      </patternFill>
    </fill>
    <fill>
      <patternFill patternType="solid">
        <fgColor rgb="FFEBF3F9"/>
        <bgColor indexed="64"/>
      </patternFill>
    </fill>
  </fills>
  <borders count="2">
    <border>
      <left/>
      <right/>
      <top/>
      <bottom/>
      <diagonal/>
    </border>
    <border>
      <left style="medium">
        <color rgb="FFE3EEF7"/>
      </left>
      <right style="medium">
        <color rgb="FFE3EEF7"/>
      </right>
      <top style="medium">
        <color rgb="FFE3EEF7"/>
      </top>
      <bottom style="medium">
        <color rgb="FFE3EEF7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0" fontId="1" fillId="3" borderId="1" xfId="0" applyFont="1" applyFill="1" applyBorder="1" applyAlignment="1">
      <alignment vertical="center" wrapText="1"/>
    </xf>
    <xf numFmtId="0" fontId="3" fillId="3" borderId="1" xfId="1" applyFill="1" applyBorder="1" applyAlignment="1">
      <alignment vertical="center" wrapText="1"/>
    </xf>
    <xf numFmtId="22" fontId="1" fillId="3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1" applyFill="1" applyBorder="1" applyAlignment="1">
      <alignment vertical="center" wrapText="1"/>
    </xf>
    <xf numFmtId="22" fontId="1" fillId="2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22" fontId="2" fillId="3" borderId="1" xfId="0" applyNumberFormat="1" applyFont="1" applyFill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7;&#1072;&#1075;&#1088;&#1091;&#1079;&#1082;&#1080;/&#1040;&#1073;&#1080;&#1090;&#1091;&#1088;&#1080;&#1077;&#1085;&#1090;&#1099;%20&#1055;&#1055;%20&#1080;%20&#1055;&#105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се программы"/>
      <sheetName val="01"/>
      <sheetName val="02"/>
      <sheetName val="10"/>
      <sheetName val="Прочие программы"/>
    </sheetNames>
    <sheetDataSet>
      <sheetData sheetId="0">
        <row r="2">
          <cell r="E2" t="str">
            <v>m_a_klykova@ro.ru</v>
          </cell>
          <cell r="F2">
            <v>9163131793</v>
          </cell>
          <cell r="G2" t="str">
            <v>Преподавание химии в школе</v>
          </cell>
        </row>
        <row r="3">
          <cell r="E3" t="str">
            <v>erizhepova95@mail.ru</v>
          </cell>
          <cell r="F3">
            <v>9648852053</v>
          </cell>
          <cell r="G3" t="str">
            <v>Преподавание биологии в общеобразовательных организациях</v>
          </cell>
        </row>
        <row r="4">
          <cell r="E4" t="str">
            <v>sergeeva.caterin92@gmail.com</v>
          </cell>
          <cell r="F4">
            <v>9653274658</v>
          </cell>
          <cell r="G4" t="str">
            <v>Преподавание химии в школе</v>
          </cell>
        </row>
        <row r="5">
          <cell r="E5" t="str">
            <v>zltlexa@gmail.com</v>
          </cell>
          <cell r="F5">
            <v>9102338926</v>
          </cell>
          <cell r="G5" t="str">
            <v>Преподавание химии в школе</v>
          </cell>
        </row>
        <row r="6">
          <cell r="E6" t="str">
            <v>Kristina_georgievna@mail.ru</v>
          </cell>
          <cell r="F6">
            <v>9778287793</v>
          </cell>
          <cell r="G6" t="str">
            <v>Преподаватель-организатор основ безопасности и защиты Родины (исключительно ЭОиДОТ)</v>
          </cell>
        </row>
        <row r="7">
          <cell r="E7" t="str">
            <v>tmvasilieva@gmail.com</v>
          </cell>
          <cell r="F7">
            <v>9165502740</v>
          </cell>
          <cell r="G7" t="str">
            <v>Преподавание химии в школе</v>
          </cell>
        </row>
        <row r="8">
          <cell r="E8" t="str">
            <v>ovsteacher@yandex.ru</v>
          </cell>
          <cell r="F8">
            <v>9169876650</v>
          </cell>
          <cell r="G8" t="str">
            <v>Преподавание биологии в общеобразовательных организациях</v>
          </cell>
        </row>
        <row r="9">
          <cell r="E9" t="str">
            <v>zltlexa@gmail.com</v>
          </cell>
          <cell r="F9">
            <v>9102338926</v>
          </cell>
          <cell r="G9" t="str">
            <v>Преподавание химии в школе</v>
          </cell>
        </row>
        <row r="10">
          <cell r="E10" t="str">
            <v>fiolent-1132@yandex.ru</v>
          </cell>
          <cell r="F10">
            <v>9772516956</v>
          </cell>
          <cell r="G10" t="str">
            <v>Преподавание биологии в общеобразовательных организациях</v>
          </cell>
        </row>
        <row r="11">
          <cell r="E11" t="str">
            <v>aleeenachesnokova@mail.ru</v>
          </cell>
          <cell r="F11">
            <v>9878998347</v>
          </cell>
          <cell r="G11" t="str">
            <v>Преподавание химии в школе</v>
          </cell>
        </row>
        <row r="12">
          <cell r="E12" t="str">
            <v>ElizavetaFox11@mail.ru</v>
          </cell>
          <cell r="F12">
            <v>9654424429</v>
          </cell>
          <cell r="G12" t="str">
            <v>Преподавание химии в школе</v>
          </cell>
        </row>
        <row r="13">
          <cell r="E13" t="str">
            <v>artykova.2003@mail.ru</v>
          </cell>
          <cell r="F13">
            <v>9099568986</v>
          </cell>
          <cell r="G13" t="str">
            <v>Преподавание химии в школе</v>
          </cell>
        </row>
        <row r="14">
          <cell r="E14" t="str">
            <v>vaminisheva@gmail.com</v>
          </cell>
          <cell r="F14">
            <v>9150069095</v>
          </cell>
          <cell r="G14" t="str">
            <v>Преподавание биологии в общеобразовательных организациях</v>
          </cell>
        </row>
        <row r="15">
          <cell r="E15" t="str">
            <v>zulyamasharipova@yandex.ru</v>
          </cell>
          <cell r="F15">
            <v>9255954955</v>
          </cell>
          <cell r="G15" t="str">
            <v>Преподавание биологии в общеобразовательных организациях</v>
          </cell>
        </row>
        <row r="16">
          <cell r="E16" t="str">
            <v>elyaimr@mail.ru</v>
          </cell>
          <cell r="F16">
            <v>9777841312</v>
          </cell>
          <cell r="G16" t="str">
            <v>Преподавание биологии в общеобразовательных организациях</v>
          </cell>
        </row>
        <row r="17">
          <cell r="E17" t="str">
            <v>mshramovs@gmail.com</v>
          </cell>
          <cell r="F17">
            <v>9113759171</v>
          </cell>
          <cell r="G17" t="str">
            <v>Преподавание биологии в общеобразовательных организациях</v>
          </cell>
        </row>
        <row r="18">
          <cell r="E18" t="str">
            <v>elyaimr@mail.ru</v>
          </cell>
          <cell r="F18">
            <v>9777841312</v>
          </cell>
          <cell r="G18" t="str">
            <v>Преподавание биологии в общеобразовательных организациях</v>
          </cell>
        </row>
        <row r="19">
          <cell r="E19" t="str">
            <v>lizailkina@yandex.ru</v>
          </cell>
          <cell r="F19">
            <v>9030008779</v>
          </cell>
          <cell r="G19" t="str">
            <v>Преподавание биологии в общеобразовательных организациях</v>
          </cell>
        </row>
        <row r="20">
          <cell r="E20" t="str">
            <v>uganovavioletta@gmail.com</v>
          </cell>
          <cell r="F20">
            <v>9003880078</v>
          </cell>
          <cell r="G20" t="str">
            <v>Преподавание биологии в общеобразовательных организациях</v>
          </cell>
        </row>
        <row r="21">
          <cell r="E21" t="str">
            <v>zapasnoykaizer@gmail.com</v>
          </cell>
          <cell r="F21">
            <v>9166121122</v>
          </cell>
          <cell r="G21" t="str">
            <v>Преподавание химии в школе</v>
          </cell>
        </row>
        <row r="22">
          <cell r="E22" t="str">
            <v>imperbull@yandex.ru</v>
          </cell>
          <cell r="F22">
            <v>9772883510</v>
          </cell>
          <cell r="G22" t="str">
            <v>Преподавание химии в школе</v>
          </cell>
        </row>
        <row r="23">
          <cell r="E23" t="str">
            <v>sawaluba071913@gmail.com</v>
          </cell>
          <cell r="F23">
            <v>9774771846</v>
          </cell>
          <cell r="G23" t="str">
            <v>Преподавание химии в школе</v>
          </cell>
        </row>
        <row r="24">
          <cell r="E24" t="str">
            <v>Barahtenkon@mail.ru</v>
          </cell>
          <cell r="F24">
            <v>9169091260</v>
          </cell>
          <cell r="G24" t="str">
            <v>Преподавание биологии в общеобразовательных организациях</v>
          </cell>
        </row>
        <row r="25">
          <cell r="E25" t="str">
            <v>KsenKaryagina@mail.ru</v>
          </cell>
          <cell r="F25">
            <v>9151230153</v>
          </cell>
          <cell r="G25" t="str">
            <v>Преподавание биологии в общеобразовательных организациях</v>
          </cell>
        </row>
        <row r="26">
          <cell r="E26" t="str">
            <v>ksumina66@mail.ru</v>
          </cell>
          <cell r="F26">
            <v>9771762391</v>
          </cell>
          <cell r="G26" t="str">
            <v>Преподавание биологии в общеобразовательных организациях</v>
          </cell>
        </row>
        <row r="27">
          <cell r="E27" t="str">
            <v>guvr.62@mail.ru</v>
          </cell>
          <cell r="F27">
            <v>9647105863</v>
          </cell>
          <cell r="G27" t="str">
            <v>Подготовка пилотов-операторов беспилотных летательных аппаратов типа мультикоптеров</v>
          </cell>
        </row>
        <row r="28">
          <cell r="E28" t="str">
            <v>guvr.622@gmail.com</v>
          </cell>
          <cell r="F28">
            <v>9647105863</v>
          </cell>
          <cell r="G28" t="str">
            <v>Подготовка пилотов-операторов беспилотных летательных аппаратов типа мультикоптеров</v>
          </cell>
        </row>
        <row r="29">
          <cell r="E29" t="str">
            <v>olegaalpinist2056@yandex.ru</v>
          </cell>
          <cell r="F29">
            <v>9778075338</v>
          </cell>
          <cell r="G29" t="str">
            <v>Подготовка пилотов-операторов беспилотных летательных аппаратов типа мультикоптеров</v>
          </cell>
        </row>
        <row r="30">
          <cell r="E30" t="str">
            <v>artykova.2003@mail.ru</v>
          </cell>
          <cell r="F30">
            <v>9099568986</v>
          </cell>
          <cell r="G30" t="str">
            <v>Преподавание химии в школе</v>
          </cell>
        </row>
        <row r="31">
          <cell r="E31" t="str">
            <v>Gerl229@rambler.ru</v>
          </cell>
          <cell r="F31">
            <v>9150765456</v>
          </cell>
          <cell r="G31" t="str">
            <v>Преподавание биологии в общеобразовательных организациях</v>
          </cell>
        </row>
        <row r="32">
          <cell r="E32" t="str">
            <v>tatiana_tren@mail.ru</v>
          </cell>
          <cell r="F32">
            <v>9636238527</v>
          </cell>
          <cell r="G32" t="str">
            <v>Биология</v>
          </cell>
        </row>
        <row r="33">
          <cell r="E33" t="str">
            <v>aleeenachesnokova@mail.ru</v>
          </cell>
          <cell r="F33">
            <v>9878998347</v>
          </cell>
          <cell r="G33" t="str">
            <v>Преподавание химии в школе</v>
          </cell>
        </row>
        <row r="34">
          <cell r="E34" t="str">
            <v>aliceurazova@gmail.com</v>
          </cell>
          <cell r="F34">
            <v>9686807132</v>
          </cell>
          <cell r="G34" t="str">
            <v>Школа прикладной биотехнологии и молекулярной биологии</v>
          </cell>
        </row>
        <row r="35">
          <cell r="E35" t="str">
            <v>Gyuzel.kudyakova@yandex.ru</v>
          </cell>
          <cell r="F35">
            <v>9858474503</v>
          </cell>
          <cell r="G35" t="str">
            <v>Преподавание биологии в общеобразовательных организациях</v>
          </cell>
        </row>
        <row r="36">
          <cell r="E36" t="str">
            <v>serg3ipotanin@yandex.com</v>
          </cell>
          <cell r="F36">
            <v>9493734509</v>
          </cell>
          <cell r="G36" t="str">
            <v>Преподавание биологии в общеобразовательных организациях</v>
          </cell>
        </row>
        <row r="37">
          <cell r="E37" t="str">
            <v>Chekko86@mail.ru</v>
          </cell>
          <cell r="F37">
            <v>9259000124</v>
          </cell>
          <cell r="G37" t="str">
            <v>Биология</v>
          </cell>
        </row>
        <row r="38">
          <cell r="E38" t="str">
            <v>krivolapov.711@gmail.com</v>
          </cell>
          <cell r="F38">
            <v>9772867873</v>
          </cell>
          <cell r="G38" t="str">
            <v>Преподаватель-организатор основ безопасности и защиты Родины (исключительно ЭОиДОТ)</v>
          </cell>
        </row>
        <row r="39">
          <cell r="E39" t="str">
            <v>Martinchicstyle@gmail.com</v>
          </cell>
          <cell r="F39">
            <v>9017273191</v>
          </cell>
          <cell r="G39" t="str">
            <v>Ландшафтное проектирование и строительство</v>
          </cell>
        </row>
        <row r="40">
          <cell r="E40" t="str">
            <v>polina-kuzemkina@mail.ru</v>
          </cell>
          <cell r="F40">
            <v>9657833553</v>
          </cell>
          <cell r="G40" t="str">
            <v>Преподавание биологии в общеобразовательных организациях</v>
          </cell>
        </row>
        <row r="41">
          <cell r="E41" t="str">
            <v>logvinova.derya@yandex.ru</v>
          </cell>
          <cell r="F41">
            <v>9150952289</v>
          </cell>
          <cell r="G41" t="str">
            <v>Преподавание биологии в общеобразовательных организациях</v>
          </cell>
        </row>
        <row r="42">
          <cell r="E42" t="str">
            <v>dergunovas313@gmail.com</v>
          </cell>
          <cell r="F42">
            <v>9061850021</v>
          </cell>
          <cell r="G42" t="str">
            <v>Преподавание химии в школе</v>
          </cell>
        </row>
        <row r="43">
          <cell r="E43" t="str">
            <v>max232199@mail.ru</v>
          </cell>
          <cell r="F43">
            <v>9778326114</v>
          </cell>
          <cell r="G43" t="str">
            <v>Биология</v>
          </cell>
        </row>
        <row r="44">
          <cell r="E44" t="str">
            <v>Pikulevich@mail.ru</v>
          </cell>
          <cell r="F44">
            <v>9323225315</v>
          </cell>
          <cell r="G44" t="str">
            <v>Преподавание химии в школе</v>
          </cell>
        </row>
        <row r="45">
          <cell r="E45" t="str">
            <v>E_solokhina@mail.ru</v>
          </cell>
          <cell r="F45">
            <v>9266398077</v>
          </cell>
          <cell r="G45" t="str">
            <v>Оказание первой помощи в условиях учебно-воспитательного процесса</v>
          </cell>
        </row>
        <row r="46">
          <cell r="E46" t="str">
            <v>aszarechenskaya@mail.ru</v>
          </cell>
          <cell r="F46">
            <v>9859726522</v>
          </cell>
          <cell r="G46" t="str">
            <v>Преподавание биологии в общеобразовательных организациях</v>
          </cell>
        </row>
        <row r="47">
          <cell r="E47" t="str">
            <v>erliris1@mail.ru</v>
          </cell>
          <cell r="F47">
            <v>9205999246</v>
          </cell>
          <cell r="G47" t="str">
            <v>Преподавание биологии в общеобразовательных организациях</v>
          </cell>
        </row>
        <row r="48">
          <cell r="E48" t="str">
            <v>lenka-sadovnik@mail.ru</v>
          </cell>
          <cell r="F48">
            <v>9162309953</v>
          </cell>
          <cell r="G48" t="str">
            <v>Преподавание химии в школе</v>
          </cell>
        </row>
        <row r="49">
          <cell r="E49" t="str">
            <v>anndokukina@yandex.ru</v>
          </cell>
          <cell r="F49">
            <v>9180543260</v>
          </cell>
          <cell r="G49" t="str">
            <v>Преподавание химии в школе</v>
          </cell>
        </row>
        <row r="50">
          <cell r="E50" t="str">
            <v>sk-alisa05@yandex.ru</v>
          </cell>
          <cell r="F50">
            <v>9851514722</v>
          </cell>
          <cell r="G50" t="str">
            <v>Преподавание химии в школе</v>
          </cell>
        </row>
        <row r="51">
          <cell r="E51" t="str">
            <v>ttrendel@yandex.ru</v>
          </cell>
          <cell r="F51">
            <v>9636238527</v>
          </cell>
          <cell r="G51" t="str">
            <v>Биология</v>
          </cell>
        </row>
        <row r="52">
          <cell r="E52" t="str">
            <v>petrovaw0rk1@gmail.com</v>
          </cell>
          <cell r="F52">
            <v>9312991172</v>
          </cell>
          <cell r="G52" t="str">
            <v>Биология</v>
          </cell>
        </row>
        <row r="53">
          <cell r="E53" t="str">
            <v>nowikowa.juliya@yandex.ru</v>
          </cell>
          <cell r="F53">
            <v>9218046304</v>
          </cell>
          <cell r="G53" t="str">
            <v>Оказание первой помощи в условиях учебно-воспитательного процесса</v>
          </cell>
        </row>
        <row r="54">
          <cell r="E54" t="str">
            <v>samiradamirova@mail.ru</v>
          </cell>
          <cell r="F54">
            <v>9671600210</v>
          </cell>
          <cell r="G54" t="str">
            <v>Преподавание биологии в общеобразовательных организациях</v>
          </cell>
        </row>
        <row r="55">
          <cell r="E55" t="str">
            <v>dergunovas313@gmail.com</v>
          </cell>
          <cell r="F55">
            <v>9061850021</v>
          </cell>
          <cell r="G55" t="str">
            <v>Преподавание химии в школе</v>
          </cell>
        </row>
        <row r="56">
          <cell r="E56" t="str">
            <v>kbspirova@gmail.com</v>
          </cell>
          <cell r="F56">
            <v>9773457340</v>
          </cell>
          <cell r="G56" t="str">
            <v>Биология</v>
          </cell>
        </row>
        <row r="57">
          <cell r="E57" t="str">
            <v>zhivaevnike101276@mail.ru</v>
          </cell>
          <cell r="F57">
            <v>9165174514</v>
          </cell>
          <cell r="G57" t="str">
            <v>Оказание первой помощи в условиях учебно-воспитательного процесса</v>
          </cell>
        </row>
        <row r="58">
          <cell r="E58" t="str">
            <v>zhivaevnike101276@mail.ru</v>
          </cell>
          <cell r="F58">
            <v>9165174514</v>
          </cell>
          <cell r="G58" t="str">
            <v>Преподаватель-организатор основ безопасности и защиты Родины (исключительно ЭОиДОТ)</v>
          </cell>
        </row>
        <row r="59">
          <cell r="E59" t="str">
            <v>uliaden09@gmail.com</v>
          </cell>
          <cell r="F59">
            <v>9697780362</v>
          </cell>
          <cell r="G59" t="str">
            <v>Преподавание химии в школе</v>
          </cell>
        </row>
        <row r="60">
          <cell r="E60" t="str">
            <v>podi03@mail.ru</v>
          </cell>
          <cell r="F60">
            <v>9858365810</v>
          </cell>
          <cell r="G60" t="str">
            <v>Биология</v>
          </cell>
        </row>
        <row r="61">
          <cell r="E61" t="str">
            <v>om392062@gmail.com</v>
          </cell>
          <cell r="F61">
            <v>9118969385</v>
          </cell>
          <cell r="G61" t="str">
            <v>Биология</v>
          </cell>
        </row>
        <row r="62">
          <cell r="E62" t="str">
            <v>val-kostina@yandex.ru</v>
          </cell>
          <cell r="F62">
            <v>9998158701</v>
          </cell>
          <cell r="G62" t="str">
            <v>Практикум на уроках биологии и химии в старших классах общеобразовательных школ</v>
          </cell>
        </row>
        <row r="63">
          <cell r="E63" t="str">
            <v>anna-s@bk.ru</v>
          </cell>
          <cell r="F63">
            <v>9265331094</v>
          </cell>
          <cell r="G63" t="str">
            <v>Методические подходы к растительному оформлению ландшафтных проектов (с применением ЭО и ДОТ)</v>
          </cell>
        </row>
        <row r="64">
          <cell r="E64" t="str">
            <v>masterchief27@ya.ru</v>
          </cell>
          <cell r="F64">
            <v>9661525948</v>
          </cell>
          <cell r="G64" t="str">
            <v>Биология</v>
          </cell>
        </row>
        <row r="65">
          <cell r="E65" t="str">
            <v>kapochek1997@gmail.com</v>
          </cell>
          <cell r="F65">
            <v>9614317479</v>
          </cell>
          <cell r="G65" t="str">
            <v>Преподавание химии в школе</v>
          </cell>
        </row>
        <row r="66">
          <cell r="E66" t="str">
            <v>Witnet.83@gmail.com</v>
          </cell>
          <cell r="F66">
            <v>9309920007</v>
          </cell>
          <cell r="G66" t="str">
            <v>Преподавание химии в школе</v>
          </cell>
        </row>
        <row r="67">
          <cell r="E67" t="str">
            <v>Polya0504@yandex.ru</v>
          </cell>
          <cell r="F67">
            <v>9162258965</v>
          </cell>
          <cell r="G67" t="str">
            <v>Преподавание биологии в общеобразовательных организациях</v>
          </cell>
        </row>
        <row r="68">
          <cell r="E68" t="str">
            <v>chaybekova@inbox.ru</v>
          </cell>
          <cell r="F68">
            <v>9175148690</v>
          </cell>
          <cell r="G68" t="str">
            <v>Преподавание биологии в общеобразовательных организациях</v>
          </cell>
        </row>
        <row r="69">
          <cell r="E69" t="str">
            <v>nowikowa.juliya@yandex.ru</v>
          </cell>
          <cell r="F69">
            <v>9218046304</v>
          </cell>
          <cell r="G69" t="str">
            <v>Оказание первой помощи в условиях учебно-воспитательного процесса</v>
          </cell>
        </row>
        <row r="70">
          <cell r="E70" t="str">
            <v>polya0504@yandex.ru</v>
          </cell>
          <cell r="F70">
            <v>9162258965</v>
          </cell>
          <cell r="G70" t="str">
            <v>Биология</v>
          </cell>
        </row>
        <row r="71">
          <cell r="E71" t="str">
            <v>mo-ann@yandex.ru</v>
          </cell>
          <cell r="F71">
            <v>9057352322</v>
          </cell>
          <cell r="G71" t="str">
            <v>Оказание первой помощи в условиях учебно-воспитательного процесса</v>
          </cell>
        </row>
        <row r="72">
          <cell r="E72" t="str">
            <v>polya0504@yandex.ru</v>
          </cell>
          <cell r="F72">
            <v>9162258965</v>
          </cell>
          <cell r="G72" t="str">
            <v>Преподавание биологии в общеобразовательных организациях</v>
          </cell>
        </row>
        <row r="73">
          <cell r="E73" t="str">
            <v>beloshapskya.elena@yandex.ru</v>
          </cell>
          <cell r="F73">
            <v>9151601818</v>
          </cell>
          <cell r="G73" t="str">
            <v>Преподавание химии в школе</v>
          </cell>
        </row>
        <row r="74">
          <cell r="E74" t="str">
            <v>sv.murafa@mpgu.su</v>
          </cell>
          <cell r="F74">
            <v>9262570554</v>
          </cell>
          <cell r="G74" t="str">
            <v>Оказание первой помощи в условиях учебно-воспитательного процесса</v>
          </cell>
        </row>
        <row r="75">
          <cell r="E75" t="str">
            <v>i@nekrasova-work.ru</v>
          </cell>
          <cell r="F75">
            <v>9642996058</v>
          </cell>
          <cell r="G75" t="str">
            <v>Преподаватель-организатор основ безопасности и защиты Родины (исключительно ЭОиДОТ)</v>
          </cell>
        </row>
        <row r="76">
          <cell r="E76" t="str">
            <v>AKopilova24122003@yandex.ru</v>
          </cell>
          <cell r="F76">
            <v>9647039803</v>
          </cell>
          <cell r="G76" t="str">
            <v>Преподаватель-организатор основ безопасности и защиты Родины (для лиц с СПО) (исключительно ЭОиДОТ)</v>
          </cell>
        </row>
        <row r="77">
          <cell r="E77" t="str">
            <v>nowikowa.juliya@yandex.ru</v>
          </cell>
          <cell r="F77">
            <v>9218046304</v>
          </cell>
          <cell r="G77" t="str">
            <v>Оказание первой помощи в условиях учебно-воспитательного процесса</v>
          </cell>
        </row>
        <row r="78">
          <cell r="E78" t="str">
            <v>o.v.sidorova@narfu.ru</v>
          </cell>
          <cell r="F78">
            <v>9210872557</v>
          </cell>
          <cell r="G78" t="str">
            <v>Практикум на уроках биологии и химии в старших классах общеобразовательных школ</v>
          </cell>
        </row>
        <row r="79">
          <cell r="E79" t="str">
            <v>k42461037@gmail.com</v>
          </cell>
          <cell r="F79">
            <v>9614473291</v>
          </cell>
          <cell r="G79" t="str">
            <v>Биология</v>
          </cell>
        </row>
        <row r="80">
          <cell r="E80" t="str">
            <v>nassttaassya@mail.ru</v>
          </cell>
          <cell r="F80">
            <v>9233890117</v>
          </cell>
          <cell r="G80" t="str">
            <v>Преподаватель-организатор основ безопасности и защиты Родины (для лиц с СПО) (исключительно ЭОиДОТ)</v>
          </cell>
        </row>
        <row r="81">
          <cell r="E81" t="str">
            <v>sytnikov@list.ru</v>
          </cell>
          <cell r="F81">
            <v>9622180720</v>
          </cell>
          <cell r="G81" t="str">
            <v>Биология</v>
          </cell>
        </row>
        <row r="82">
          <cell r="E82" t="str">
            <v>neolat33@gmail.com</v>
          </cell>
          <cell r="F82">
            <v>9162822991</v>
          </cell>
          <cell r="G82" t="str">
            <v>Преподавание биологии в общеобразовательных организациях</v>
          </cell>
        </row>
        <row r="83">
          <cell r="E83" t="str">
            <v>Dr.olga@inbox.ru</v>
          </cell>
          <cell r="F83">
            <v>9162138595</v>
          </cell>
          <cell r="G83" t="str">
            <v>Преподавание биологии в общеобразовательных организациях</v>
          </cell>
        </row>
        <row r="84">
          <cell r="E84" t="str">
            <v>Kuts.A.C@yandex.ru</v>
          </cell>
          <cell r="F84">
            <v>9263004467</v>
          </cell>
          <cell r="G84" t="str">
            <v>Преподавание биологии в общеобразовательных организациях</v>
          </cell>
        </row>
        <row r="85">
          <cell r="E85" t="str">
            <v>yagmuryan02@mail.ru</v>
          </cell>
          <cell r="F85">
            <v>9054923377</v>
          </cell>
          <cell r="G85" t="str">
            <v>Преподавание химии в школе</v>
          </cell>
        </row>
        <row r="86">
          <cell r="E86" t="str">
            <v>ariinaa2004@mail.ru</v>
          </cell>
          <cell r="F86">
            <v>9841441620</v>
          </cell>
          <cell r="G86" t="str">
            <v>Преподавание химии в школе</v>
          </cell>
        </row>
        <row r="87">
          <cell r="E87" t="str">
            <v>nuta.shashkova@yandex.ru</v>
          </cell>
          <cell r="F87">
            <v>9160237772</v>
          </cell>
          <cell r="G87" t="str">
            <v>Преподавание химии в школе</v>
          </cell>
        </row>
        <row r="88">
          <cell r="E88" t="str">
            <v>Gyuzel.kudyakova@yandex.ru</v>
          </cell>
          <cell r="F88">
            <v>9858474503</v>
          </cell>
          <cell r="G88" t="str">
            <v>Преподавание химии в школе</v>
          </cell>
        </row>
        <row r="89">
          <cell r="E89" t="str">
            <v>vaminisheva@gmail.com</v>
          </cell>
          <cell r="F89">
            <v>9150069095</v>
          </cell>
          <cell r="G89" t="str">
            <v>Преподавание биологии в общеобразовательных организациях</v>
          </cell>
        </row>
        <row r="90">
          <cell r="E90" t="str">
            <v>nast.nazarova2010@mail.ru</v>
          </cell>
          <cell r="F90">
            <v>9153365825</v>
          </cell>
          <cell r="G90" t="str">
            <v>Оказание первой помощи в условиях учебно-воспитательного процесса</v>
          </cell>
        </row>
        <row r="91">
          <cell r="E91" t="str">
            <v>vip.nastya208@mail.ru</v>
          </cell>
          <cell r="F91">
            <v>9160612777</v>
          </cell>
          <cell r="G91" t="str">
            <v>Преподавание химии в школе</v>
          </cell>
        </row>
        <row r="92">
          <cell r="E92" t="str">
            <v>dnimsk@yandex.ru</v>
          </cell>
          <cell r="F92">
            <v>9165620477</v>
          </cell>
          <cell r="G92" t="str">
            <v>Преподавание биологии в общеобразовательных организациях</v>
          </cell>
        </row>
        <row r="93">
          <cell r="E93" t="str">
            <v>k42461037@gmail.com</v>
          </cell>
          <cell r="F93">
            <v>9614473291</v>
          </cell>
          <cell r="G93" t="str">
            <v>Биология</v>
          </cell>
        </row>
        <row r="94">
          <cell r="E94" t="str">
            <v>konaevaanastasia13@gmail.com</v>
          </cell>
          <cell r="F94">
            <v>9601506272</v>
          </cell>
          <cell r="G94" t="str">
            <v>Биология</v>
          </cell>
        </row>
        <row r="95">
          <cell r="E95" t="str">
            <v>fedryaz@yandex.ru</v>
          </cell>
          <cell r="F95">
            <v>9537345420</v>
          </cell>
          <cell r="G95" t="str">
            <v>Преподаватель-организатор основ безопасности и защиты Родины (исключительно ЭОиДОТ)</v>
          </cell>
        </row>
        <row r="96">
          <cell r="E96" t="str">
            <v>irina020772@rambler.ru</v>
          </cell>
          <cell r="F96">
            <v>9067301273</v>
          </cell>
          <cell r="G96" t="str">
            <v>Преподавание биологии в общеобразовательных организациях</v>
          </cell>
        </row>
        <row r="97">
          <cell r="E97" t="str">
            <v>blackthornluck@gmail.com</v>
          </cell>
          <cell r="F97">
            <v>9055451382</v>
          </cell>
          <cell r="G97" t="str">
            <v>Преподавание биологии в общеобразовательных организациях</v>
          </cell>
        </row>
        <row r="98">
          <cell r="E98" t="str">
            <v>aszarechenskaya@mail.ru</v>
          </cell>
          <cell r="F98">
            <v>9859726522</v>
          </cell>
          <cell r="G98" t="str">
            <v>Преподавание биологии в общеобразовательных организациях</v>
          </cell>
        </row>
        <row r="99">
          <cell r="E99" t="str">
            <v>Dr.olga@inbox.ru</v>
          </cell>
          <cell r="F99">
            <v>9162138595</v>
          </cell>
          <cell r="G99" t="str">
            <v>Преподавание биологии в общеобразовательных организациях</v>
          </cell>
        </row>
        <row r="100">
          <cell r="E100" t="str">
            <v>Gyuzel.kudyakova@yandex.ru</v>
          </cell>
          <cell r="F100">
            <v>9858474503</v>
          </cell>
          <cell r="G100" t="str">
            <v>Преподавание химии в школе</v>
          </cell>
        </row>
        <row r="101">
          <cell r="E101" t="str">
            <v>Gyuzel.kudyakova@yandex.ru</v>
          </cell>
          <cell r="F101">
            <v>9858474503</v>
          </cell>
          <cell r="G101" t="str">
            <v>Преподавание биологии в общеобразовательных организациях</v>
          </cell>
        </row>
        <row r="102">
          <cell r="E102" t="str">
            <v>Gyuzel.kudyakova@yandex.ru</v>
          </cell>
          <cell r="F102">
            <v>9858474503</v>
          </cell>
          <cell r="G102" t="str">
            <v>Биология</v>
          </cell>
        </row>
        <row r="103">
          <cell r="E103" t="str">
            <v>candyref45@gmail.com</v>
          </cell>
          <cell r="F103">
            <v>9160572420</v>
          </cell>
          <cell r="G103" t="str">
            <v>Биология</v>
          </cell>
        </row>
        <row r="104">
          <cell r="E104" t="str">
            <v>aszarechenskaya@mail.ru</v>
          </cell>
          <cell r="F104">
            <v>9859726522</v>
          </cell>
          <cell r="G104" t="str">
            <v>Преподавание биологии в общеобразовательных организациях</v>
          </cell>
        </row>
        <row r="105">
          <cell r="E105" t="str">
            <v>elizaweta.b@gmail.com</v>
          </cell>
          <cell r="F105">
            <v>9160785028</v>
          </cell>
          <cell r="G105" t="str">
            <v>Преподавание химии в школе</v>
          </cell>
        </row>
        <row r="106">
          <cell r="E106" t="str">
            <v>as.akimkin@yandex.ru</v>
          </cell>
          <cell r="F106">
            <v>9858538513</v>
          </cell>
          <cell r="G106" t="str">
            <v>Биология</v>
          </cell>
        </row>
        <row r="107">
          <cell r="E107" t="str">
            <v>darsiqk@yandex.ru</v>
          </cell>
          <cell r="F107">
            <v>9255832388</v>
          </cell>
          <cell r="G107" t="str">
            <v>Преподавание биологии в общеобразовательных организациях</v>
          </cell>
        </row>
        <row r="108">
          <cell r="E108" t="str">
            <v>grisxa2002@bk.ru</v>
          </cell>
          <cell r="F108">
            <v>9932281573</v>
          </cell>
          <cell r="G108" t="str">
            <v>Теория и методика основ военной подготовки (с применением ЭОиДОТ)</v>
          </cell>
        </row>
        <row r="109">
          <cell r="E109" t="str">
            <v>grisxa2002@bk.ru</v>
          </cell>
          <cell r="F109">
            <v>9932281573</v>
          </cell>
          <cell r="G109" t="str">
            <v>Противодействие идеологии экстремизма и терроризма в образовательной сфере и молодёжной среде(исключительно ЭОиДОТ)</v>
          </cell>
        </row>
        <row r="110">
          <cell r="E110" t="str">
            <v>lenka-sadovnik@mail.ru</v>
          </cell>
          <cell r="F110">
            <v>9162309953</v>
          </cell>
          <cell r="G110" t="str">
            <v>Преподавание химии в школе</v>
          </cell>
        </row>
        <row r="111">
          <cell r="E111" t="str">
            <v>teacher495@mail.ru</v>
          </cell>
          <cell r="F111">
            <v>9503159992</v>
          </cell>
          <cell r="G111" t="str">
            <v>Преподаватель-организатор основ безопасности и защиты Родины (исключительно ЭОиДОТ)</v>
          </cell>
        </row>
        <row r="112">
          <cell r="E112" t="str">
            <v>Arger2001@mail.ru</v>
          </cell>
          <cell r="F112">
            <v>9176026127</v>
          </cell>
          <cell r="G112" t="str">
            <v>Военно-спортивные технологии в обучении граждан основам обороны и безопасности (для лиц с ВО)</v>
          </cell>
        </row>
        <row r="113">
          <cell r="E113" t="str">
            <v>Arger2001@mail.ru</v>
          </cell>
          <cell r="F113">
            <v>9176026127</v>
          </cell>
          <cell r="G113" t="str">
            <v>Образовательные технологии оборонно-массовой работы с молодежью</v>
          </cell>
        </row>
        <row r="114">
          <cell r="E114" t="str">
            <v>nuta.shashkova@yandex.ru</v>
          </cell>
          <cell r="F114">
            <v>9160237772</v>
          </cell>
          <cell r="G114" t="str">
            <v>Преподавание химии в школе</v>
          </cell>
        </row>
        <row r="115">
          <cell r="E115" t="str">
            <v>Ladamaksimova@yandex.ru</v>
          </cell>
          <cell r="F115">
            <v>9231288125</v>
          </cell>
          <cell r="G115" t="str">
            <v>Противодействие идеологии экстремизма и терроризма в образовательной сфере и молодёжной среде(исключительно ЭОиДОТ)</v>
          </cell>
        </row>
        <row r="116">
          <cell r="E116" t="str">
            <v>AnyMary11@mail.ru</v>
          </cell>
          <cell r="F116">
            <v>9102641555</v>
          </cell>
          <cell r="G116" t="str">
            <v>Преподавание химии в школе</v>
          </cell>
        </row>
        <row r="117">
          <cell r="E117" t="str">
            <v>Everzovaa@mail.ru</v>
          </cell>
          <cell r="F117">
            <v>9190126717</v>
          </cell>
          <cell r="G117" t="str">
            <v>Преподавание химии в школе</v>
          </cell>
        </row>
        <row r="118">
          <cell r="E118" t="str">
            <v>Chekko86@mail.ru</v>
          </cell>
          <cell r="F118">
            <v>9259000124</v>
          </cell>
          <cell r="G118" t="str">
            <v>Преподавание биологии в общеобразовательных организациях</v>
          </cell>
        </row>
        <row r="119">
          <cell r="E119" t="str">
            <v>max232199@mail.ru</v>
          </cell>
          <cell r="F119">
            <v>9778326114</v>
          </cell>
          <cell r="G119" t="str">
            <v>Биология</v>
          </cell>
        </row>
        <row r="120">
          <cell r="E120" t="str">
            <v>lenka-sadovnik@mail.ru</v>
          </cell>
          <cell r="F120">
            <v>9162309953</v>
          </cell>
          <cell r="G120" t="str">
            <v>Преподавание химии в школе</v>
          </cell>
        </row>
        <row r="121">
          <cell r="E121" t="str">
            <v>k2000aa@yandex.ru</v>
          </cell>
          <cell r="F121">
            <v>9037194530</v>
          </cell>
          <cell r="G121" t="str">
            <v>Оказание первой помощи в условиях учебно-воспитательного процесса</v>
          </cell>
        </row>
        <row r="122">
          <cell r="E122" t="str">
            <v>Chekko86@mail.ru</v>
          </cell>
          <cell r="F122">
            <v>9259000124</v>
          </cell>
          <cell r="G122" t="str">
            <v>Преподавание биологии в общеобразовательных организациях</v>
          </cell>
        </row>
        <row r="123">
          <cell r="E123" t="str">
            <v>Iren300584@ya.ru</v>
          </cell>
          <cell r="F123">
            <v>9262300083</v>
          </cell>
          <cell r="G123" t="str">
            <v>Преподавание биологии в общеобразовательных организациях</v>
          </cell>
        </row>
        <row r="124">
          <cell r="E124" t="str">
            <v>klimentovakatya@mail.ru</v>
          </cell>
          <cell r="F124">
            <v>9151881462</v>
          </cell>
          <cell r="G124" t="str">
            <v>Оказание первой помощи в условиях учебно-воспитательного процесса</v>
          </cell>
        </row>
        <row r="125">
          <cell r="E125" t="str">
            <v>derya@fastmail.fm</v>
          </cell>
          <cell r="F125">
            <v>9167710906</v>
          </cell>
          <cell r="G125" t="str">
            <v>Биология</v>
          </cell>
        </row>
        <row r="126">
          <cell r="E126" t="str">
            <v>nbshnik00@mail.ru</v>
          </cell>
          <cell r="F126">
            <v>9041494088</v>
          </cell>
          <cell r="G126" t="str">
            <v>Преподаватель-организатор основ безопасности и защиты Родины (исключительно ЭОиДОТ)</v>
          </cell>
        </row>
        <row r="127">
          <cell r="E127" t="str">
            <v>mumivalya@gmail.com</v>
          </cell>
          <cell r="F127">
            <v>9262697702</v>
          </cell>
          <cell r="G127" t="str">
            <v>Преподавание биологии в общеобразовательных организациях</v>
          </cell>
        </row>
        <row r="128">
          <cell r="E128" t="str">
            <v>mincava04@mail.ru</v>
          </cell>
          <cell r="F128">
            <v>9209101679</v>
          </cell>
          <cell r="G128" t="str">
            <v>Преподавание химии в школе</v>
          </cell>
        </row>
        <row r="129">
          <cell r="E129" t="str">
            <v>Pshenitsyno@yandex.ru</v>
          </cell>
          <cell r="F129">
            <v>9216378682</v>
          </cell>
          <cell r="G129" t="str">
            <v>Преподаватель-организатор основ безопасности и защиты Родины (для лиц с СПО) (исключительно ЭОиДОТ)</v>
          </cell>
        </row>
        <row r="130">
          <cell r="E130" t="str">
            <v>teapaper@ya.ru</v>
          </cell>
          <cell r="F130">
            <v>9067918855</v>
          </cell>
          <cell r="G130" t="str">
            <v>Преподавание химии в школе</v>
          </cell>
        </row>
        <row r="131">
          <cell r="E131" t="str">
            <v>vabeliaev@itmo.ru</v>
          </cell>
          <cell r="F131">
            <v>9626894778</v>
          </cell>
          <cell r="G131" t="str">
            <v>Преподаватель-организатор основ безопасности и защиты Родины (исключительно ЭОиДОТ)</v>
          </cell>
        </row>
        <row r="132">
          <cell r="E132" t="str">
            <v>mail21@bk.ru</v>
          </cell>
          <cell r="F132">
            <v>9165033085</v>
          </cell>
          <cell r="G132" t="str">
            <v>Преподавание химии в школе</v>
          </cell>
        </row>
        <row r="133">
          <cell r="E133" t="str">
            <v>dmskrylev2019@gmail.com</v>
          </cell>
          <cell r="F133">
            <v>9262470771</v>
          </cell>
          <cell r="G133" t="str">
            <v>Оказание первой помощи в условиях учебно-воспитательного процесса</v>
          </cell>
        </row>
        <row r="134">
          <cell r="E134" t="str">
            <v>neolat33@gmail.com</v>
          </cell>
          <cell r="F134">
            <v>9162822991</v>
          </cell>
          <cell r="G134" t="str">
            <v>Преподавание биологии в общеобразовательных организациях</v>
          </cell>
        </row>
        <row r="135">
          <cell r="E135" t="str">
            <v>evgenyguseletov@yandex.ru</v>
          </cell>
          <cell r="F135">
            <v>9859334041</v>
          </cell>
          <cell r="G135" t="str">
            <v>Преподаватель-организатор основ безопасности и защиты Родины (исключительно ЭОиДОТ)</v>
          </cell>
        </row>
        <row r="136">
          <cell r="E136" t="str">
            <v>nngladkovskaya@gmail.com</v>
          </cell>
          <cell r="F136">
            <v>9265960532</v>
          </cell>
          <cell r="G136" t="str">
            <v>Преподавание химии в школе</v>
          </cell>
        </row>
        <row r="137">
          <cell r="E137" t="str">
            <v>shmatous@rambler.ru</v>
          </cell>
          <cell r="F137">
            <v>9261541154</v>
          </cell>
          <cell r="G137" t="str">
            <v>Преподавание биологии в общеобразовательных организациях</v>
          </cell>
        </row>
        <row r="138">
          <cell r="E138" t="str">
            <v>piterova@mail.ru</v>
          </cell>
          <cell r="F138">
            <v>9256300227</v>
          </cell>
          <cell r="G138" t="str">
            <v>Цветники и основы цветоводства</v>
          </cell>
        </row>
        <row r="139">
          <cell r="E139" t="str">
            <v>piterova@mail.ru</v>
          </cell>
          <cell r="F139">
            <v>9256300227</v>
          </cell>
          <cell r="G139" t="str">
            <v>Ландшафтное проектирование и строительство</v>
          </cell>
        </row>
        <row r="140">
          <cell r="E140" t="str">
            <v>ea_kossova@mail.ru</v>
          </cell>
          <cell r="F140">
            <v>9160009122</v>
          </cell>
          <cell r="G140" t="str">
            <v>Преподавание химии в школе</v>
          </cell>
        </row>
        <row r="141">
          <cell r="E141" t="str">
            <v>minceva04@mail.ru</v>
          </cell>
          <cell r="F141">
            <v>9209101679</v>
          </cell>
          <cell r="G141" t="str">
            <v>Преподавание химии в школе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mpgu.su/op/control/client.php?id=46196" TargetMode="External"/><Relationship Id="rId21" Type="http://schemas.openxmlformats.org/officeDocument/2006/relationships/hyperlink" Target="http://mpgu.su/op/control/client.php?id=46168" TargetMode="External"/><Relationship Id="rId42" Type="http://schemas.openxmlformats.org/officeDocument/2006/relationships/hyperlink" Target="http://mpgu.su/op/control/client.php?id=46735" TargetMode="External"/><Relationship Id="rId63" Type="http://schemas.openxmlformats.org/officeDocument/2006/relationships/hyperlink" Target="http://mpgu.su/op/control/client.php?id=47342" TargetMode="External"/><Relationship Id="rId84" Type="http://schemas.openxmlformats.org/officeDocument/2006/relationships/hyperlink" Target="http://mpgu.su/op/control/client.php?id=47336" TargetMode="External"/><Relationship Id="rId138" Type="http://schemas.openxmlformats.org/officeDocument/2006/relationships/hyperlink" Target="http://mpgu.su/op/control/client.php?id=46687" TargetMode="External"/><Relationship Id="rId159" Type="http://schemas.openxmlformats.org/officeDocument/2006/relationships/hyperlink" Target="http://mpgu.su/op/control/client.php?id=47219" TargetMode="External"/><Relationship Id="rId170" Type="http://schemas.openxmlformats.org/officeDocument/2006/relationships/hyperlink" Target="http://mpgu.su/op/control/client.php?id=47555" TargetMode="External"/><Relationship Id="rId107" Type="http://schemas.openxmlformats.org/officeDocument/2006/relationships/hyperlink" Target="http://mpgu.su/op/control/client.php?id=45901" TargetMode="External"/><Relationship Id="rId11" Type="http://schemas.openxmlformats.org/officeDocument/2006/relationships/hyperlink" Target="http://mpgu.su/op/control/client.php?id=46044" TargetMode="External"/><Relationship Id="rId32" Type="http://schemas.openxmlformats.org/officeDocument/2006/relationships/hyperlink" Target="http://mpgu.su/op/control/client.php?id=46688" TargetMode="External"/><Relationship Id="rId53" Type="http://schemas.openxmlformats.org/officeDocument/2006/relationships/hyperlink" Target="http://mpgu.su/op/control/client.php?id=47152" TargetMode="External"/><Relationship Id="rId74" Type="http://schemas.openxmlformats.org/officeDocument/2006/relationships/hyperlink" Target="http://mpgu.su/op/control/client.php?id=45978" TargetMode="External"/><Relationship Id="rId128" Type="http://schemas.openxmlformats.org/officeDocument/2006/relationships/hyperlink" Target="http://mpgu.su/op/control/client.php?id=46515" TargetMode="External"/><Relationship Id="rId149" Type="http://schemas.openxmlformats.org/officeDocument/2006/relationships/hyperlink" Target="http://mpgu.su/op/control/client.php?id=46921" TargetMode="External"/><Relationship Id="rId5" Type="http://schemas.openxmlformats.org/officeDocument/2006/relationships/hyperlink" Target="http://mpgu.su/op/control/client.php?id=46035" TargetMode="External"/><Relationship Id="rId95" Type="http://schemas.openxmlformats.org/officeDocument/2006/relationships/hyperlink" Target="http://mpgu.su/op/control/client.php?id=45724" TargetMode="External"/><Relationship Id="rId160" Type="http://schemas.openxmlformats.org/officeDocument/2006/relationships/hyperlink" Target="http://mpgu.su/op/control/client.php?id=47404" TargetMode="External"/><Relationship Id="rId181" Type="http://schemas.openxmlformats.org/officeDocument/2006/relationships/hyperlink" Target="http://mpgu.su/op/control/client.php?id=45994" TargetMode="External"/><Relationship Id="rId22" Type="http://schemas.openxmlformats.org/officeDocument/2006/relationships/hyperlink" Target="http://mpgu.su/op/control/client.php?id=46182" TargetMode="External"/><Relationship Id="rId43" Type="http://schemas.openxmlformats.org/officeDocument/2006/relationships/hyperlink" Target="http://mpgu.su/op/control/client.php?id=46905" TargetMode="External"/><Relationship Id="rId64" Type="http://schemas.openxmlformats.org/officeDocument/2006/relationships/hyperlink" Target="http://mpgu.su/op/control/client.php?id=47577" TargetMode="External"/><Relationship Id="rId118" Type="http://schemas.openxmlformats.org/officeDocument/2006/relationships/hyperlink" Target="http://mpgu.su/op/control/client.php?id=46207" TargetMode="External"/><Relationship Id="rId139" Type="http://schemas.openxmlformats.org/officeDocument/2006/relationships/hyperlink" Target="http://mpgu.su/op/control/client.php?id=46728" TargetMode="External"/><Relationship Id="rId85" Type="http://schemas.openxmlformats.org/officeDocument/2006/relationships/hyperlink" Target="http://mpgu.su/op/control/client.php?id=47337" TargetMode="External"/><Relationship Id="rId150" Type="http://schemas.openxmlformats.org/officeDocument/2006/relationships/hyperlink" Target="http://mpgu.su/op/control/client.php?id=46921" TargetMode="External"/><Relationship Id="rId171" Type="http://schemas.openxmlformats.org/officeDocument/2006/relationships/hyperlink" Target="http://mpgu.su/op/control/client.php?id=47555" TargetMode="External"/><Relationship Id="rId12" Type="http://schemas.openxmlformats.org/officeDocument/2006/relationships/hyperlink" Target="http://mpgu.su/op/control/client.php?id=46044" TargetMode="External"/><Relationship Id="rId33" Type="http://schemas.openxmlformats.org/officeDocument/2006/relationships/hyperlink" Target="http://mpgu.su/op/control/client.php?id=46688" TargetMode="External"/><Relationship Id="rId108" Type="http://schemas.openxmlformats.org/officeDocument/2006/relationships/hyperlink" Target="http://mpgu.su/op/control/client.php?id=45901" TargetMode="External"/><Relationship Id="rId129" Type="http://schemas.openxmlformats.org/officeDocument/2006/relationships/hyperlink" Target="http://mpgu.su/op/control/client.php?id=46515" TargetMode="External"/><Relationship Id="rId54" Type="http://schemas.openxmlformats.org/officeDocument/2006/relationships/hyperlink" Target="http://mpgu.su/op/control/client.php?id=47152" TargetMode="External"/><Relationship Id="rId75" Type="http://schemas.openxmlformats.org/officeDocument/2006/relationships/hyperlink" Target="http://mpgu.su/op/control/client.php?id=45978" TargetMode="External"/><Relationship Id="rId96" Type="http://schemas.openxmlformats.org/officeDocument/2006/relationships/hyperlink" Target="http://mpgu.su/op/control/client.php?id=45724" TargetMode="External"/><Relationship Id="rId140" Type="http://schemas.openxmlformats.org/officeDocument/2006/relationships/hyperlink" Target="http://mpgu.su/op/control/client.php?id=46728" TargetMode="External"/><Relationship Id="rId161" Type="http://schemas.openxmlformats.org/officeDocument/2006/relationships/hyperlink" Target="http://mpgu.su/op/control/client.php?id=47404" TargetMode="External"/><Relationship Id="rId182" Type="http://schemas.openxmlformats.org/officeDocument/2006/relationships/hyperlink" Target="http://mpgu.su/op/control/client.php?id=45994" TargetMode="External"/><Relationship Id="rId6" Type="http://schemas.openxmlformats.org/officeDocument/2006/relationships/hyperlink" Target="http://mpgu.su/op/control/client.php?id=46035" TargetMode="External"/><Relationship Id="rId23" Type="http://schemas.openxmlformats.org/officeDocument/2006/relationships/hyperlink" Target="http://mpgu.su/op/control/client.php?id=46182" TargetMode="External"/><Relationship Id="rId119" Type="http://schemas.openxmlformats.org/officeDocument/2006/relationships/hyperlink" Target="http://mpgu.su/op/control/client.php?id=46207" TargetMode="External"/><Relationship Id="rId44" Type="http://schemas.openxmlformats.org/officeDocument/2006/relationships/hyperlink" Target="http://mpgu.su/op/control/client.php?id=46905" TargetMode="External"/><Relationship Id="rId60" Type="http://schemas.openxmlformats.org/officeDocument/2006/relationships/hyperlink" Target="http://mpgu.su/op/control/client.php?id=47266" TargetMode="External"/><Relationship Id="rId65" Type="http://schemas.openxmlformats.org/officeDocument/2006/relationships/hyperlink" Target="http://mpgu.su/op/control/client.php?id=47577" TargetMode="External"/><Relationship Id="rId81" Type="http://schemas.openxmlformats.org/officeDocument/2006/relationships/hyperlink" Target="http://mpgu.su/op/control/client.php?id=47200" TargetMode="External"/><Relationship Id="rId86" Type="http://schemas.openxmlformats.org/officeDocument/2006/relationships/hyperlink" Target="http://mpgu.su/op/control/client.php?id=47337" TargetMode="External"/><Relationship Id="rId130" Type="http://schemas.openxmlformats.org/officeDocument/2006/relationships/hyperlink" Target="http://mpgu.su/op/control/client.php?id=46581" TargetMode="External"/><Relationship Id="rId135" Type="http://schemas.openxmlformats.org/officeDocument/2006/relationships/hyperlink" Target="http://mpgu.su/op/control/client.php?id=46676" TargetMode="External"/><Relationship Id="rId151" Type="http://schemas.openxmlformats.org/officeDocument/2006/relationships/hyperlink" Target="http://mpgu.su/op/control/client.php?id=47105" TargetMode="External"/><Relationship Id="rId156" Type="http://schemas.openxmlformats.org/officeDocument/2006/relationships/hyperlink" Target="http://mpgu.su/op/control/client.php?id=47210" TargetMode="External"/><Relationship Id="rId177" Type="http://schemas.openxmlformats.org/officeDocument/2006/relationships/hyperlink" Target="http://mpgu.su/op/control/client.php?id=46880" TargetMode="External"/><Relationship Id="rId172" Type="http://schemas.openxmlformats.org/officeDocument/2006/relationships/hyperlink" Target="http://mpgu.su/op/control/client.php?id=45877" TargetMode="External"/><Relationship Id="rId13" Type="http://schemas.openxmlformats.org/officeDocument/2006/relationships/hyperlink" Target="http://mpgu.su/op/control/client.php?id=45984" TargetMode="External"/><Relationship Id="rId18" Type="http://schemas.openxmlformats.org/officeDocument/2006/relationships/hyperlink" Target="http://mpgu.su/op/control/client.php?id=46146" TargetMode="External"/><Relationship Id="rId39" Type="http://schemas.openxmlformats.org/officeDocument/2006/relationships/hyperlink" Target="http://mpgu.su/op/control/client.php?id=46734" TargetMode="External"/><Relationship Id="rId109" Type="http://schemas.openxmlformats.org/officeDocument/2006/relationships/hyperlink" Target="http://mpgu.su/op/control/client.php?id=45916" TargetMode="External"/><Relationship Id="rId34" Type="http://schemas.openxmlformats.org/officeDocument/2006/relationships/hyperlink" Target="http://mpgu.su/op/control/client.php?id=46700" TargetMode="External"/><Relationship Id="rId50" Type="http://schemas.openxmlformats.org/officeDocument/2006/relationships/hyperlink" Target="http://mpgu.su/op/control/client.php?id=47135" TargetMode="External"/><Relationship Id="rId55" Type="http://schemas.openxmlformats.org/officeDocument/2006/relationships/hyperlink" Target="http://mpgu.su/op/control/client.php?id=47168" TargetMode="External"/><Relationship Id="rId76" Type="http://schemas.openxmlformats.org/officeDocument/2006/relationships/hyperlink" Target="http://mpgu.su/op/control/client.php?id=47198" TargetMode="External"/><Relationship Id="rId97" Type="http://schemas.openxmlformats.org/officeDocument/2006/relationships/hyperlink" Target="http://mpgu.su/op/control/client.php?id=45772" TargetMode="External"/><Relationship Id="rId104" Type="http://schemas.openxmlformats.org/officeDocument/2006/relationships/hyperlink" Target="http://mpgu.su/op/control/client.php?id=45809" TargetMode="External"/><Relationship Id="rId120" Type="http://schemas.openxmlformats.org/officeDocument/2006/relationships/hyperlink" Target="http://mpgu.su/op/control/client.php?id=46207" TargetMode="External"/><Relationship Id="rId125" Type="http://schemas.openxmlformats.org/officeDocument/2006/relationships/hyperlink" Target="http://mpgu.su/op/control/client.php?id=46477" TargetMode="External"/><Relationship Id="rId141" Type="http://schemas.openxmlformats.org/officeDocument/2006/relationships/hyperlink" Target="http://mpgu.su/op/control/client.php?id=46728" TargetMode="External"/><Relationship Id="rId146" Type="http://schemas.openxmlformats.org/officeDocument/2006/relationships/hyperlink" Target="http://mpgu.su/op/control/client.php?id=46785" TargetMode="External"/><Relationship Id="rId167" Type="http://schemas.openxmlformats.org/officeDocument/2006/relationships/hyperlink" Target="http://mpgu.su/op/control/client.php?id=47539" TargetMode="External"/><Relationship Id="rId7" Type="http://schemas.openxmlformats.org/officeDocument/2006/relationships/hyperlink" Target="http://mpgu.su/op/control/client.php?id=46037" TargetMode="External"/><Relationship Id="rId71" Type="http://schemas.openxmlformats.org/officeDocument/2006/relationships/hyperlink" Target="http://mpgu.su/op/control/client.php?id=45830" TargetMode="External"/><Relationship Id="rId92" Type="http://schemas.openxmlformats.org/officeDocument/2006/relationships/hyperlink" Target="http://mpgu.su/op/control/client.php?id=47564" TargetMode="External"/><Relationship Id="rId162" Type="http://schemas.openxmlformats.org/officeDocument/2006/relationships/hyperlink" Target="http://mpgu.su/op/control/client.php?id=47404" TargetMode="External"/><Relationship Id="rId183" Type="http://schemas.openxmlformats.org/officeDocument/2006/relationships/hyperlink" Target="http://mpgu.su/op/control/client.php?id=45994" TargetMode="External"/><Relationship Id="rId2" Type="http://schemas.openxmlformats.org/officeDocument/2006/relationships/hyperlink" Target="http://mpgu.su/op/control/client.php?id=47478" TargetMode="External"/><Relationship Id="rId29" Type="http://schemas.openxmlformats.org/officeDocument/2006/relationships/hyperlink" Target="http://mpgu.su/op/control/client.php?id=46682" TargetMode="External"/><Relationship Id="rId24" Type="http://schemas.openxmlformats.org/officeDocument/2006/relationships/hyperlink" Target="http://mpgu.su/op/control/client.php?id=46182" TargetMode="External"/><Relationship Id="rId40" Type="http://schemas.openxmlformats.org/officeDocument/2006/relationships/hyperlink" Target="http://mpgu.su/op/control/client.php?id=46735" TargetMode="External"/><Relationship Id="rId45" Type="http://schemas.openxmlformats.org/officeDocument/2006/relationships/hyperlink" Target="http://mpgu.su/op/control/client.php?id=46905" TargetMode="External"/><Relationship Id="rId66" Type="http://schemas.openxmlformats.org/officeDocument/2006/relationships/hyperlink" Target="http://mpgu.su/op/control/client.php?id=47577" TargetMode="External"/><Relationship Id="rId87" Type="http://schemas.openxmlformats.org/officeDocument/2006/relationships/hyperlink" Target="http://mpgu.su/op/control/client.php?id=47337" TargetMode="External"/><Relationship Id="rId110" Type="http://schemas.openxmlformats.org/officeDocument/2006/relationships/hyperlink" Target="http://mpgu.su/op/control/client.php?id=45916" TargetMode="External"/><Relationship Id="rId115" Type="http://schemas.openxmlformats.org/officeDocument/2006/relationships/hyperlink" Target="http://mpgu.su/op/control/client.php?id=46196" TargetMode="External"/><Relationship Id="rId131" Type="http://schemas.openxmlformats.org/officeDocument/2006/relationships/hyperlink" Target="http://mpgu.su/op/control/client.php?id=46581" TargetMode="External"/><Relationship Id="rId136" Type="http://schemas.openxmlformats.org/officeDocument/2006/relationships/hyperlink" Target="http://mpgu.su/op/control/client.php?id=46687" TargetMode="External"/><Relationship Id="rId157" Type="http://schemas.openxmlformats.org/officeDocument/2006/relationships/hyperlink" Target="http://mpgu.su/op/control/client.php?id=47219" TargetMode="External"/><Relationship Id="rId178" Type="http://schemas.openxmlformats.org/officeDocument/2006/relationships/hyperlink" Target="http://mpgu.su/op/control/client.php?id=45669" TargetMode="External"/><Relationship Id="rId61" Type="http://schemas.openxmlformats.org/officeDocument/2006/relationships/hyperlink" Target="http://mpgu.su/op/control/client.php?id=47342" TargetMode="External"/><Relationship Id="rId82" Type="http://schemas.openxmlformats.org/officeDocument/2006/relationships/hyperlink" Target="http://mpgu.su/op/control/client.php?id=47336" TargetMode="External"/><Relationship Id="rId152" Type="http://schemas.openxmlformats.org/officeDocument/2006/relationships/hyperlink" Target="http://mpgu.su/op/control/client.php?id=47105" TargetMode="External"/><Relationship Id="rId173" Type="http://schemas.openxmlformats.org/officeDocument/2006/relationships/hyperlink" Target="http://mpgu.su/op/control/client.php?id=45877" TargetMode="External"/><Relationship Id="rId19" Type="http://schemas.openxmlformats.org/officeDocument/2006/relationships/hyperlink" Target="http://mpgu.su/op/control/client.php?id=46168" TargetMode="External"/><Relationship Id="rId14" Type="http://schemas.openxmlformats.org/officeDocument/2006/relationships/hyperlink" Target="http://mpgu.su/op/control/client.php?id=45984" TargetMode="External"/><Relationship Id="rId30" Type="http://schemas.openxmlformats.org/officeDocument/2006/relationships/hyperlink" Target="http://mpgu.su/op/control/client.php?id=46682" TargetMode="External"/><Relationship Id="rId35" Type="http://schemas.openxmlformats.org/officeDocument/2006/relationships/hyperlink" Target="http://mpgu.su/op/control/client.php?id=46700" TargetMode="External"/><Relationship Id="rId56" Type="http://schemas.openxmlformats.org/officeDocument/2006/relationships/hyperlink" Target="http://mpgu.su/op/control/client.php?id=47168" TargetMode="External"/><Relationship Id="rId77" Type="http://schemas.openxmlformats.org/officeDocument/2006/relationships/hyperlink" Target="http://mpgu.su/op/control/client.php?id=47198" TargetMode="External"/><Relationship Id="rId100" Type="http://schemas.openxmlformats.org/officeDocument/2006/relationships/hyperlink" Target="http://mpgu.su/op/control/client.php?id=45796" TargetMode="External"/><Relationship Id="rId105" Type="http://schemas.openxmlformats.org/officeDocument/2006/relationships/hyperlink" Target="http://mpgu.su/op/control/client.php?id=45809" TargetMode="External"/><Relationship Id="rId126" Type="http://schemas.openxmlformats.org/officeDocument/2006/relationships/hyperlink" Target="http://mpgu.su/op/control/client.php?id=46477" TargetMode="External"/><Relationship Id="rId147" Type="http://schemas.openxmlformats.org/officeDocument/2006/relationships/hyperlink" Target="http://mpgu.su/op/control/client.php?id=46785" TargetMode="External"/><Relationship Id="rId168" Type="http://schemas.openxmlformats.org/officeDocument/2006/relationships/hyperlink" Target="http://mpgu.su/op/control/client.php?id=47539" TargetMode="External"/><Relationship Id="rId8" Type="http://schemas.openxmlformats.org/officeDocument/2006/relationships/hyperlink" Target="http://mpgu.su/op/control/client.php?id=46037" TargetMode="External"/><Relationship Id="rId51" Type="http://schemas.openxmlformats.org/officeDocument/2006/relationships/hyperlink" Target="http://mpgu.su/op/control/client.php?id=47135" TargetMode="External"/><Relationship Id="rId72" Type="http://schemas.openxmlformats.org/officeDocument/2006/relationships/hyperlink" Target="http://mpgu.su/op/control/client.php?id=45830" TargetMode="External"/><Relationship Id="rId93" Type="http://schemas.openxmlformats.org/officeDocument/2006/relationships/hyperlink" Target="http://mpgu.su/op/control/client.php?id=47564" TargetMode="External"/><Relationship Id="rId98" Type="http://schemas.openxmlformats.org/officeDocument/2006/relationships/hyperlink" Target="http://mpgu.su/op/control/client.php?id=45772" TargetMode="External"/><Relationship Id="rId121" Type="http://schemas.openxmlformats.org/officeDocument/2006/relationships/hyperlink" Target="http://mpgu.su/op/control/client.php?id=46464" TargetMode="External"/><Relationship Id="rId142" Type="http://schemas.openxmlformats.org/officeDocument/2006/relationships/hyperlink" Target="http://mpgu.su/op/control/client.php?id=46740" TargetMode="External"/><Relationship Id="rId163" Type="http://schemas.openxmlformats.org/officeDocument/2006/relationships/hyperlink" Target="http://mpgu.su/op/control/client.php?id=47535" TargetMode="External"/><Relationship Id="rId184" Type="http://schemas.openxmlformats.org/officeDocument/2006/relationships/printerSettings" Target="../printerSettings/printerSettings1.bin"/><Relationship Id="rId3" Type="http://schemas.openxmlformats.org/officeDocument/2006/relationships/hyperlink" Target="http://mpgu.su/op/control/client.php?id=47478" TargetMode="External"/><Relationship Id="rId25" Type="http://schemas.openxmlformats.org/officeDocument/2006/relationships/hyperlink" Target="http://mpgu.su/op/control/client.php?id=46294" TargetMode="External"/><Relationship Id="rId46" Type="http://schemas.openxmlformats.org/officeDocument/2006/relationships/hyperlink" Target="http://mpgu.su/op/control/client.php?id=47004" TargetMode="External"/><Relationship Id="rId67" Type="http://schemas.openxmlformats.org/officeDocument/2006/relationships/hyperlink" Target="http://mpgu.su/op/control/client.php?id=47624" TargetMode="External"/><Relationship Id="rId116" Type="http://schemas.openxmlformats.org/officeDocument/2006/relationships/hyperlink" Target="http://mpgu.su/op/control/client.php?id=46196" TargetMode="External"/><Relationship Id="rId137" Type="http://schemas.openxmlformats.org/officeDocument/2006/relationships/hyperlink" Target="http://mpgu.su/op/control/client.php?id=46687" TargetMode="External"/><Relationship Id="rId158" Type="http://schemas.openxmlformats.org/officeDocument/2006/relationships/hyperlink" Target="http://mpgu.su/op/control/client.php?id=47219" TargetMode="External"/><Relationship Id="rId20" Type="http://schemas.openxmlformats.org/officeDocument/2006/relationships/hyperlink" Target="http://mpgu.su/op/control/client.php?id=46168" TargetMode="External"/><Relationship Id="rId41" Type="http://schemas.openxmlformats.org/officeDocument/2006/relationships/hyperlink" Target="http://mpgu.su/op/control/client.php?id=46735" TargetMode="External"/><Relationship Id="rId62" Type="http://schemas.openxmlformats.org/officeDocument/2006/relationships/hyperlink" Target="http://mpgu.su/op/control/client.php?id=47342" TargetMode="External"/><Relationship Id="rId83" Type="http://schemas.openxmlformats.org/officeDocument/2006/relationships/hyperlink" Target="http://mpgu.su/op/control/client.php?id=47336" TargetMode="External"/><Relationship Id="rId88" Type="http://schemas.openxmlformats.org/officeDocument/2006/relationships/hyperlink" Target="http://mpgu.su/op/control/client.php?id=47382" TargetMode="External"/><Relationship Id="rId111" Type="http://schemas.openxmlformats.org/officeDocument/2006/relationships/hyperlink" Target="http://mpgu.su/op/control/client.php?id=45916" TargetMode="External"/><Relationship Id="rId132" Type="http://schemas.openxmlformats.org/officeDocument/2006/relationships/hyperlink" Target="http://mpgu.su/op/control/client.php?id=46581" TargetMode="External"/><Relationship Id="rId153" Type="http://schemas.openxmlformats.org/officeDocument/2006/relationships/hyperlink" Target="http://mpgu.su/op/control/client.php?id=47105" TargetMode="External"/><Relationship Id="rId174" Type="http://schemas.openxmlformats.org/officeDocument/2006/relationships/hyperlink" Target="http://mpgu.su/op/control/client.php?id=45877" TargetMode="External"/><Relationship Id="rId179" Type="http://schemas.openxmlformats.org/officeDocument/2006/relationships/hyperlink" Target="http://mpgu.su/op/control/client.php?id=45669" TargetMode="External"/><Relationship Id="rId15" Type="http://schemas.openxmlformats.org/officeDocument/2006/relationships/hyperlink" Target="http://mpgu.su/op/control/client.php?id=45984" TargetMode="External"/><Relationship Id="rId36" Type="http://schemas.openxmlformats.org/officeDocument/2006/relationships/hyperlink" Target="http://mpgu.su/op/control/client.php?id=46700" TargetMode="External"/><Relationship Id="rId57" Type="http://schemas.openxmlformats.org/officeDocument/2006/relationships/hyperlink" Target="http://mpgu.su/op/control/client.php?id=47168" TargetMode="External"/><Relationship Id="rId106" Type="http://schemas.openxmlformats.org/officeDocument/2006/relationships/hyperlink" Target="http://mpgu.su/op/control/client.php?id=45901" TargetMode="External"/><Relationship Id="rId127" Type="http://schemas.openxmlformats.org/officeDocument/2006/relationships/hyperlink" Target="http://mpgu.su/op/control/client.php?id=46515" TargetMode="External"/><Relationship Id="rId10" Type="http://schemas.openxmlformats.org/officeDocument/2006/relationships/hyperlink" Target="http://mpgu.su/op/control/client.php?id=46044" TargetMode="External"/><Relationship Id="rId31" Type="http://schemas.openxmlformats.org/officeDocument/2006/relationships/hyperlink" Target="http://mpgu.su/op/control/client.php?id=46688" TargetMode="External"/><Relationship Id="rId52" Type="http://schemas.openxmlformats.org/officeDocument/2006/relationships/hyperlink" Target="http://mpgu.su/op/control/client.php?id=47152" TargetMode="External"/><Relationship Id="rId73" Type="http://schemas.openxmlformats.org/officeDocument/2006/relationships/hyperlink" Target="http://mpgu.su/op/control/client.php?id=45978" TargetMode="External"/><Relationship Id="rId78" Type="http://schemas.openxmlformats.org/officeDocument/2006/relationships/hyperlink" Target="http://mpgu.su/op/control/client.php?id=47198" TargetMode="External"/><Relationship Id="rId94" Type="http://schemas.openxmlformats.org/officeDocument/2006/relationships/hyperlink" Target="http://mpgu.su/op/control/client.php?id=45724" TargetMode="External"/><Relationship Id="rId99" Type="http://schemas.openxmlformats.org/officeDocument/2006/relationships/hyperlink" Target="http://mpgu.su/op/control/client.php?id=45772" TargetMode="External"/><Relationship Id="rId101" Type="http://schemas.openxmlformats.org/officeDocument/2006/relationships/hyperlink" Target="http://mpgu.su/op/control/client.php?id=45796" TargetMode="External"/><Relationship Id="rId122" Type="http://schemas.openxmlformats.org/officeDocument/2006/relationships/hyperlink" Target="http://mpgu.su/op/control/client.php?id=46464" TargetMode="External"/><Relationship Id="rId143" Type="http://schemas.openxmlformats.org/officeDocument/2006/relationships/hyperlink" Target="http://mpgu.su/op/control/client.php?id=46740" TargetMode="External"/><Relationship Id="rId148" Type="http://schemas.openxmlformats.org/officeDocument/2006/relationships/hyperlink" Target="http://mpgu.su/op/control/client.php?id=46921" TargetMode="External"/><Relationship Id="rId164" Type="http://schemas.openxmlformats.org/officeDocument/2006/relationships/hyperlink" Target="http://mpgu.su/op/control/client.php?id=47535" TargetMode="External"/><Relationship Id="rId169" Type="http://schemas.openxmlformats.org/officeDocument/2006/relationships/hyperlink" Target="http://mpgu.su/op/control/client.php?id=47555" TargetMode="External"/><Relationship Id="rId4" Type="http://schemas.openxmlformats.org/officeDocument/2006/relationships/hyperlink" Target="http://mpgu.su/op/control/client.php?id=46035" TargetMode="External"/><Relationship Id="rId9" Type="http://schemas.openxmlformats.org/officeDocument/2006/relationships/hyperlink" Target="http://mpgu.su/op/control/client.php?id=46037" TargetMode="External"/><Relationship Id="rId180" Type="http://schemas.openxmlformats.org/officeDocument/2006/relationships/hyperlink" Target="http://mpgu.su/op/control/client.php?id=45669" TargetMode="External"/><Relationship Id="rId26" Type="http://schemas.openxmlformats.org/officeDocument/2006/relationships/hyperlink" Target="http://mpgu.su/op/control/client.php?id=46294" TargetMode="External"/><Relationship Id="rId47" Type="http://schemas.openxmlformats.org/officeDocument/2006/relationships/hyperlink" Target="http://mpgu.su/op/control/client.php?id=47004" TargetMode="External"/><Relationship Id="rId68" Type="http://schemas.openxmlformats.org/officeDocument/2006/relationships/hyperlink" Target="http://mpgu.su/op/control/client.php?id=47624" TargetMode="External"/><Relationship Id="rId89" Type="http://schemas.openxmlformats.org/officeDocument/2006/relationships/hyperlink" Target="http://mpgu.su/op/control/client.php?id=47382" TargetMode="External"/><Relationship Id="rId112" Type="http://schemas.openxmlformats.org/officeDocument/2006/relationships/hyperlink" Target="http://mpgu.su/op/control/client.php?id=46187" TargetMode="External"/><Relationship Id="rId133" Type="http://schemas.openxmlformats.org/officeDocument/2006/relationships/hyperlink" Target="http://mpgu.su/op/control/client.php?id=46676" TargetMode="External"/><Relationship Id="rId154" Type="http://schemas.openxmlformats.org/officeDocument/2006/relationships/hyperlink" Target="http://mpgu.su/op/control/client.php?id=47210" TargetMode="External"/><Relationship Id="rId175" Type="http://schemas.openxmlformats.org/officeDocument/2006/relationships/hyperlink" Target="http://mpgu.su/op/control/client.php?id=46880" TargetMode="External"/><Relationship Id="rId16" Type="http://schemas.openxmlformats.org/officeDocument/2006/relationships/hyperlink" Target="http://mpgu.su/op/control/client.php?id=46146" TargetMode="External"/><Relationship Id="rId37" Type="http://schemas.openxmlformats.org/officeDocument/2006/relationships/hyperlink" Target="http://mpgu.su/op/control/client.php?id=46734" TargetMode="External"/><Relationship Id="rId58" Type="http://schemas.openxmlformats.org/officeDocument/2006/relationships/hyperlink" Target="http://mpgu.su/op/control/client.php?id=47266" TargetMode="External"/><Relationship Id="rId79" Type="http://schemas.openxmlformats.org/officeDocument/2006/relationships/hyperlink" Target="http://mpgu.su/op/control/client.php?id=47200" TargetMode="External"/><Relationship Id="rId102" Type="http://schemas.openxmlformats.org/officeDocument/2006/relationships/hyperlink" Target="http://mpgu.su/op/control/client.php?id=45796" TargetMode="External"/><Relationship Id="rId123" Type="http://schemas.openxmlformats.org/officeDocument/2006/relationships/hyperlink" Target="http://mpgu.su/op/control/client.php?id=46464" TargetMode="External"/><Relationship Id="rId144" Type="http://schemas.openxmlformats.org/officeDocument/2006/relationships/hyperlink" Target="http://mpgu.su/op/control/client.php?id=46740" TargetMode="External"/><Relationship Id="rId90" Type="http://schemas.openxmlformats.org/officeDocument/2006/relationships/hyperlink" Target="http://mpgu.su/op/control/client.php?id=47382" TargetMode="External"/><Relationship Id="rId165" Type="http://schemas.openxmlformats.org/officeDocument/2006/relationships/hyperlink" Target="http://mpgu.su/op/control/client.php?id=47535" TargetMode="External"/><Relationship Id="rId27" Type="http://schemas.openxmlformats.org/officeDocument/2006/relationships/hyperlink" Target="http://mpgu.su/op/control/client.php?id=46294" TargetMode="External"/><Relationship Id="rId48" Type="http://schemas.openxmlformats.org/officeDocument/2006/relationships/hyperlink" Target="http://mpgu.su/op/control/client.php?id=47004" TargetMode="External"/><Relationship Id="rId69" Type="http://schemas.openxmlformats.org/officeDocument/2006/relationships/hyperlink" Target="http://mpgu.su/op/control/client.php?id=47624" TargetMode="External"/><Relationship Id="rId113" Type="http://schemas.openxmlformats.org/officeDocument/2006/relationships/hyperlink" Target="http://mpgu.su/op/control/client.php?id=46187" TargetMode="External"/><Relationship Id="rId134" Type="http://schemas.openxmlformats.org/officeDocument/2006/relationships/hyperlink" Target="http://mpgu.su/op/control/client.php?id=46676" TargetMode="External"/><Relationship Id="rId80" Type="http://schemas.openxmlformats.org/officeDocument/2006/relationships/hyperlink" Target="http://mpgu.su/op/control/client.php?id=47200" TargetMode="External"/><Relationship Id="rId155" Type="http://schemas.openxmlformats.org/officeDocument/2006/relationships/hyperlink" Target="http://mpgu.su/op/control/client.php?id=47210" TargetMode="External"/><Relationship Id="rId176" Type="http://schemas.openxmlformats.org/officeDocument/2006/relationships/hyperlink" Target="http://mpgu.su/op/control/client.php?id=46880" TargetMode="External"/><Relationship Id="rId17" Type="http://schemas.openxmlformats.org/officeDocument/2006/relationships/hyperlink" Target="http://mpgu.su/op/control/client.php?id=46146" TargetMode="External"/><Relationship Id="rId38" Type="http://schemas.openxmlformats.org/officeDocument/2006/relationships/hyperlink" Target="http://mpgu.su/op/control/client.php?id=46734" TargetMode="External"/><Relationship Id="rId59" Type="http://schemas.openxmlformats.org/officeDocument/2006/relationships/hyperlink" Target="http://mpgu.su/op/control/client.php?id=47266" TargetMode="External"/><Relationship Id="rId103" Type="http://schemas.openxmlformats.org/officeDocument/2006/relationships/hyperlink" Target="http://mpgu.su/op/control/client.php?id=45809" TargetMode="External"/><Relationship Id="rId124" Type="http://schemas.openxmlformats.org/officeDocument/2006/relationships/hyperlink" Target="http://mpgu.su/op/control/client.php?id=46477" TargetMode="External"/><Relationship Id="rId70" Type="http://schemas.openxmlformats.org/officeDocument/2006/relationships/hyperlink" Target="http://mpgu.su/op/control/client.php?id=45830" TargetMode="External"/><Relationship Id="rId91" Type="http://schemas.openxmlformats.org/officeDocument/2006/relationships/hyperlink" Target="http://mpgu.su/op/control/client.php?id=47564" TargetMode="External"/><Relationship Id="rId145" Type="http://schemas.openxmlformats.org/officeDocument/2006/relationships/hyperlink" Target="http://mpgu.su/op/control/client.php?id=46785" TargetMode="External"/><Relationship Id="rId166" Type="http://schemas.openxmlformats.org/officeDocument/2006/relationships/hyperlink" Target="http://mpgu.su/op/control/client.php?id=47539" TargetMode="External"/><Relationship Id="rId1" Type="http://schemas.openxmlformats.org/officeDocument/2006/relationships/hyperlink" Target="http://mpgu.su/op/control/client.php?id=47478" TargetMode="External"/><Relationship Id="rId28" Type="http://schemas.openxmlformats.org/officeDocument/2006/relationships/hyperlink" Target="http://mpgu.su/op/control/client.php?id=46682" TargetMode="External"/><Relationship Id="rId49" Type="http://schemas.openxmlformats.org/officeDocument/2006/relationships/hyperlink" Target="http://mpgu.su/op/control/client.php?id=47135" TargetMode="External"/><Relationship Id="rId114" Type="http://schemas.openxmlformats.org/officeDocument/2006/relationships/hyperlink" Target="http://mpgu.su/op/control/client.php?id=461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E7F1-C1C7-4B78-A6BD-236674CB6EF9}">
  <sheetPr codeName="Лист1" filterMode="1"/>
  <dimension ref="A1:Q62"/>
  <sheetViews>
    <sheetView tabSelected="1" zoomScale="70" zoomScaleNormal="70" workbookViewId="0">
      <selection activeCell="A2" sqref="A2"/>
    </sheetView>
  </sheetViews>
  <sheetFormatPr defaultRowHeight="15.75" x14ac:dyDescent="0.25"/>
  <cols>
    <col min="1" max="1" width="15" style="1" customWidth="1"/>
    <col min="2" max="2" width="8.625" customWidth="1"/>
    <col min="3" max="3" width="20.625" style="2" customWidth="1"/>
    <col min="4" max="8" width="20.125" style="2" customWidth="1"/>
    <col min="9" max="9" width="34.75" customWidth="1"/>
    <col min="10" max="10" width="24.125" customWidth="1"/>
    <col min="11" max="11" width="40.75" customWidth="1"/>
    <col min="12" max="12" width="19.5" customWidth="1"/>
    <col min="13" max="13" width="25.5" customWidth="1"/>
    <col min="15" max="15" width="19.75" customWidth="1"/>
    <col min="16" max="16" width="19.5" customWidth="1"/>
  </cols>
  <sheetData>
    <row r="1" spans="1:17" ht="16.5" thickBot="1" x14ac:dyDescent="0.3">
      <c r="A1" t="s">
        <v>251</v>
      </c>
    </row>
    <row r="2" spans="1:17" ht="72.75" thickBot="1" x14ac:dyDescent="0.3">
      <c r="A2" s="3"/>
      <c r="B2" s="3">
        <v>47478</v>
      </c>
      <c r="C2" s="4" t="s">
        <v>0</v>
      </c>
      <c r="D2" s="4" t="s">
        <v>1</v>
      </c>
      <c r="E2" s="4" t="s">
        <v>2</v>
      </c>
      <c r="F2" s="4" t="str">
        <f>CONCATENATE(C2," ",D2," ",E2)</f>
        <v>Полянская Наталия Михайловна</v>
      </c>
      <c r="G2" s="4" t="s">
        <v>203</v>
      </c>
      <c r="H2" s="4" t="e">
        <f>VLOOKUP(G2,'[1]Все программы'!$E:$G,3,0)</f>
        <v>#N/A</v>
      </c>
      <c r="I2" s="3" t="s">
        <v>3</v>
      </c>
      <c r="J2" s="3">
        <v>9263433536</v>
      </c>
      <c r="K2" s="3" t="s">
        <v>4</v>
      </c>
      <c r="L2" s="3" t="s">
        <v>5</v>
      </c>
      <c r="M2" s="3" t="s">
        <v>6</v>
      </c>
      <c r="N2" s="3" t="s">
        <v>7</v>
      </c>
      <c r="O2" s="3" t="s">
        <v>8</v>
      </c>
      <c r="P2" s="5">
        <v>46262.927476851852</v>
      </c>
      <c r="Q2" s="3" t="s">
        <v>9</v>
      </c>
    </row>
    <row r="3" spans="1:17" ht="72.75" hidden="1" thickBot="1" x14ac:dyDescent="0.3">
      <c r="A3" s="6"/>
      <c r="B3" s="6">
        <v>46035</v>
      </c>
      <c r="C3" s="7" t="s">
        <v>10</v>
      </c>
      <c r="D3" s="7" t="s">
        <v>11</v>
      </c>
      <c r="E3" s="7" t="s">
        <v>12</v>
      </c>
      <c r="F3" s="4" t="str">
        <f t="shared" ref="F3:F62" si="0">CONCATENATE(C3," ",D3," ",E3)</f>
        <v>Лебедев Юрий Григорьевич</v>
      </c>
      <c r="G3" s="4" t="s">
        <v>204</v>
      </c>
      <c r="H3" s="4" t="e">
        <f>VLOOKUP(G3,'[1]Все программы'!$E:$G,3,0)</f>
        <v>#N/A</v>
      </c>
      <c r="I3" s="6" t="s">
        <v>13</v>
      </c>
      <c r="J3" s="6">
        <v>9647105863</v>
      </c>
      <c r="K3" s="6" t="s">
        <v>14</v>
      </c>
      <c r="L3" s="6" t="s">
        <v>5</v>
      </c>
      <c r="M3" s="6" t="s">
        <v>6</v>
      </c>
      <c r="N3" s="6" t="s">
        <v>15</v>
      </c>
      <c r="O3" s="6" t="s">
        <v>8</v>
      </c>
      <c r="P3" s="8">
        <v>46199.296446759261</v>
      </c>
      <c r="Q3" s="6" t="s">
        <v>9</v>
      </c>
    </row>
    <row r="4" spans="1:17" ht="72.75" hidden="1" thickBot="1" x14ac:dyDescent="0.3">
      <c r="A4" s="3"/>
      <c r="B4" s="3">
        <v>46037</v>
      </c>
      <c r="C4" s="4" t="s">
        <v>10</v>
      </c>
      <c r="D4" s="4" t="s">
        <v>11</v>
      </c>
      <c r="E4" s="4" t="s">
        <v>12</v>
      </c>
      <c r="F4" s="4" t="str">
        <f t="shared" si="0"/>
        <v>Лебедев Юрий Григорьевич</v>
      </c>
      <c r="G4" s="4" t="s">
        <v>204</v>
      </c>
      <c r="H4" s="4" t="e">
        <f>VLOOKUP(G4,'[1]Все программы'!$E:$G,3,0)</f>
        <v>#N/A</v>
      </c>
      <c r="I4" s="3" t="s">
        <v>16</v>
      </c>
      <c r="J4" s="3">
        <v>9647105863</v>
      </c>
      <c r="K4" s="3" t="s">
        <v>14</v>
      </c>
      <c r="L4" s="3" t="s">
        <v>5</v>
      </c>
      <c r="M4" s="3" t="s">
        <v>6</v>
      </c>
      <c r="N4" s="3" t="s">
        <v>17</v>
      </c>
      <c r="O4" s="3" t="s">
        <v>8</v>
      </c>
      <c r="P4" s="5">
        <v>46199.397685185184</v>
      </c>
      <c r="Q4" s="3" t="s">
        <v>9</v>
      </c>
    </row>
    <row r="5" spans="1:17" ht="72.75" hidden="1" thickBot="1" x14ac:dyDescent="0.3">
      <c r="A5" s="6"/>
      <c r="B5" s="6">
        <v>46044</v>
      </c>
      <c r="C5" s="7" t="s">
        <v>18</v>
      </c>
      <c r="D5" s="7" t="s">
        <v>19</v>
      </c>
      <c r="E5" s="7" t="s">
        <v>20</v>
      </c>
      <c r="F5" s="4" t="str">
        <f t="shared" si="0"/>
        <v>Фефелов Олег Николаевич</v>
      </c>
      <c r="G5" s="4" t="s">
        <v>205</v>
      </c>
      <c r="H5" s="4" t="e">
        <f>VLOOKUP(G5,'[1]Все программы'!$E:$G,3,0)</f>
        <v>#N/A</v>
      </c>
      <c r="I5" s="6" t="s">
        <v>21</v>
      </c>
      <c r="J5" s="6">
        <v>9778075338</v>
      </c>
      <c r="K5" s="6" t="s">
        <v>14</v>
      </c>
      <c r="L5" s="6" t="s">
        <v>5</v>
      </c>
      <c r="M5" s="6" t="s">
        <v>6</v>
      </c>
      <c r="N5" s="6" t="s">
        <v>22</v>
      </c>
      <c r="O5" s="6" t="s">
        <v>8</v>
      </c>
      <c r="P5" s="8">
        <v>46199.524641203701</v>
      </c>
      <c r="Q5" s="6" t="s">
        <v>9</v>
      </c>
    </row>
    <row r="6" spans="1:17" ht="72.75" hidden="1" thickBot="1" x14ac:dyDescent="0.3">
      <c r="A6" s="3"/>
      <c r="B6" s="3">
        <v>45984</v>
      </c>
      <c r="C6" s="4" t="s">
        <v>23</v>
      </c>
      <c r="D6" s="4" t="s">
        <v>24</v>
      </c>
      <c r="E6" s="4" t="s">
        <v>25</v>
      </c>
      <c r="F6" s="4" t="str">
        <f t="shared" si="0"/>
        <v>Чеснокова Алена Владимировна</v>
      </c>
      <c r="G6" s="4" t="s">
        <v>206</v>
      </c>
      <c r="H6" s="4" t="e">
        <f>VLOOKUP(G6,'[1]Все программы'!$E:$G,3,0)</f>
        <v>#N/A</v>
      </c>
      <c r="I6" s="3" t="s">
        <v>26</v>
      </c>
      <c r="J6" s="3">
        <v>9878998347</v>
      </c>
      <c r="K6" s="3" t="s">
        <v>27</v>
      </c>
      <c r="L6" s="3" t="s">
        <v>5</v>
      </c>
      <c r="M6" s="3" t="s">
        <v>28</v>
      </c>
      <c r="N6" s="3" t="s">
        <v>29</v>
      </c>
      <c r="O6" s="3" t="s">
        <v>8</v>
      </c>
      <c r="P6" s="5">
        <v>46196.57508101852</v>
      </c>
      <c r="Q6" s="3" t="s">
        <v>9</v>
      </c>
    </row>
    <row r="7" spans="1:17" ht="72.75" hidden="1" thickBot="1" x14ac:dyDescent="0.3">
      <c r="A7" s="6"/>
      <c r="B7" s="6">
        <v>46146</v>
      </c>
      <c r="C7" s="7" t="s">
        <v>30</v>
      </c>
      <c r="D7" s="7" t="s">
        <v>31</v>
      </c>
      <c r="E7" s="7" t="s">
        <v>32</v>
      </c>
      <c r="F7" s="4" t="str">
        <f t="shared" si="0"/>
        <v>Буранова Сурайё Аслитдиновна</v>
      </c>
      <c r="G7" s="4" t="s">
        <v>207</v>
      </c>
      <c r="H7" s="4" t="e">
        <f>VLOOKUP(G7,'[1]Все программы'!$E:$G,3,0)</f>
        <v>#N/A</v>
      </c>
      <c r="I7" s="6" t="s">
        <v>33</v>
      </c>
      <c r="J7" s="6">
        <v>9099568986</v>
      </c>
      <c r="K7" s="6" t="s">
        <v>27</v>
      </c>
      <c r="L7" s="6" t="s">
        <v>5</v>
      </c>
      <c r="M7" s="6" t="s">
        <v>28</v>
      </c>
      <c r="N7" s="6"/>
      <c r="O7" s="6" t="s">
        <v>8</v>
      </c>
      <c r="P7" s="8">
        <v>46204.599699074075</v>
      </c>
      <c r="Q7" s="6" t="s">
        <v>9</v>
      </c>
    </row>
    <row r="8" spans="1:17" ht="90.75" hidden="1" thickBot="1" x14ac:dyDescent="0.3">
      <c r="A8" s="9"/>
      <c r="B8" s="9">
        <v>46168</v>
      </c>
      <c r="C8" s="4" t="s">
        <v>34</v>
      </c>
      <c r="D8" s="4" t="s">
        <v>35</v>
      </c>
      <c r="E8" s="4" t="s">
        <v>2</v>
      </c>
      <c r="F8" s="4" t="str">
        <f t="shared" si="0"/>
        <v>Ковалева Ксения Михайловна</v>
      </c>
      <c r="G8" s="4" t="s">
        <v>208</v>
      </c>
      <c r="H8" s="4" t="e">
        <f>VLOOKUP(G8,'[1]Все программы'!$E:$G,3,0)</f>
        <v>#N/A</v>
      </c>
      <c r="I8" s="9" t="s">
        <v>36</v>
      </c>
      <c r="J8" s="9">
        <v>9772883510</v>
      </c>
      <c r="K8" s="9" t="s">
        <v>27</v>
      </c>
      <c r="L8" s="9" t="s">
        <v>5</v>
      </c>
      <c r="M8" s="9" t="s">
        <v>28</v>
      </c>
      <c r="N8" s="9" t="s">
        <v>37</v>
      </c>
      <c r="O8" s="9" t="s">
        <v>8</v>
      </c>
      <c r="P8" s="10">
        <v>46205.590833333335</v>
      </c>
      <c r="Q8" s="9" t="s">
        <v>9</v>
      </c>
    </row>
    <row r="9" spans="1:17" ht="90.75" hidden="1" thickBot="1" x14ac:dyDescent="0.3">
      <c r="A9" s="6"/>
      <c r="B9" s="6">
        <v>46182</v>
      </c>
      <c r="C9" s="7" t="s">
        <v>38</v>
      </c>
      <c r="D9" s="7" t="s">
        <v>39</v>
      </c>
      <c r="E9" s="7" t="s">
        <v>40</v>
      </c>
      <c r="F9" s="4" t="str">
        <f t="shared" si="0"/>
        <v>Сапронова Мария Александровна</v>
      </c>
      <c r="G9" s="4" t="s">
        <v>209</v>
      </c>
      <c r="H9" s="4" t="e">
        <f>VLOOKUP(G9,'[1]Все программы'!$E:$G,3,0)</f>
        <v>#N/A</v>
      </c>
      <c r="I9" s="6" t="s">
        <v>41</v>
      </c>
      <c r="J9" s="6">
        <v>9774771846</v>
      </c>
      <c r="K9" s="6" t="s">
        <v>27</v>
      </c>
      <c r="L9" s="6" t="s">
        <v>5</v>
      </c>
      <c r="M9" s="6" t="s">
        <v>28</v>
      </c>
      <c r="N9" s="6" t="s">
        <v>42</v>
      </c>
      <c r="O9" s="6" t="s">
        <v>8</v>
      </c>
      <c r="P9" s="8">
        <v>46206.570891203701</v>
      </c>
      <c r="Q9" s="6" t="s">
        <v>9</v>
      </c>
    </row>
    <row r="10" spans="1:17" ht="72.75" hidden="1" thickBot="1" x14ac:dyDescent="0.3">
      <c r="A10" s="3"/>
      <c r="B10" s="3">
        <v>46294</v>
      </c>
      <c r="C10" s="4" t="s">
        <v>43</v>
      </c>
      <c r="D10" s="4" t="s">
        <v>44</v>
      </c>
      <c r="E10" s="4" t="s">
        <v>45</v>
      </c>
      <c r="F10" s="4" t="str">
        <f t="shared" si="0"/>
        <v>Морозов Тимофей Андреевич</v>
      </c>
      <c r="G10" s="4" t="s">
        <v>210</v>
      </c>
      <c r="H10" s="4" t="e">
        <f>VLOOKUP(G10,'[1]Все программы'!$E:$G,3,0)</f>
        <v>#N/A</v>
      </c>
      <c r="I10" s="3" t="s">
        <v>46</v>
      </c>
      <c r="J10" s="3">
        <v>9166121122</v>
      </c>
      <c r="K10" s="3" t="s">
        <v>27</v>
      </c>
      <c r="L10" s="3" t="s">
        <v>5</v>
      </c>
      <c r="M10" s="3" t="s">
        <v>28</v>
      </c>
      <c r="N10" s="3" t="s">
        <v>47</v>
      </c>
      <c r="O10" s="3" t="s">
        <v>8</v>
      </c>
      <c r="P10" s="5">
        <v>46213.022685185184</v>
      </c>
      <c r="Q10" s="3" t="s">
        <v>9</v>
      </c>
    </row>
    <row r="11" spans="1:17" ht="72.75" hidden="1" thickBot="1" x14ac:dyDescent="0.3">
      <c r="A11" s="6"/>
      <c r="B11" s="6">
        <v>46682</v>
      </c>
      <c r="C11" s="7" t="s">
        <v>48</v>
      </c>
      <c r="D11" s="7" t="s">
        <v>49</v>
      </c>
      <c r="E11" s="7" t="s">
        <v>25</v>
      </c>
      <c r="F11" s="4" t="str">
        <f t="shared" si="0"/>
        <v>Алексютенкова Злата Владимировна</v>
      </c>
      <c r="G11" s="4" t="s">
        <v>211</v>
      </c>
      <c r="H11" s="4" t="e">
        <f>VLOOKUP(G11,'[1]Все программы'!$E:$G,3,0)</f>
        <v>#N/A</v>
      </c>
      <c r="I11" s="6" t="s">
        <v>50</v>
      </c>
      <c r="J11" s="6">
        <v>9102338926</v>
      </c>
      <c r="K11" s="6" t="s">
        <v>27</v>
      </c>
      <c r="L11" s="6" t="s">
        <v>5</v>
      </c>
      <c r="M11" s="6" t="s">
        <v>28</v>
      </c>
      <c r="N11" s="6"/>
      <c r="O11" s="6" t="s">
        <v>8</v>
      </c>
      <c r="P11" s="8">
        <v>46233.589386574073</v>
      </c>
      <c r="Q11" s="6" t="s">
        <v>9</v>
      </c>
    </row>
    <row r="12" spans="1:17" ht="72.75" hidden="1" thickBot="1" x14ac:dyDescent="0.3">
      <c r="A12" s="3"/>
      <c r="B12" s="3">
        <v>46688</v>
      </c>
      <c r="C12" s="4" t="s">
        <v>23</v>
      </c>
      <c r="D12" s="4" t="s">
        <v>24</v>
      </c>
      <c r="E12" s="4" t="s">
        <v>25</v>
      </c>
      <c r="F12" s="4" t="str">
        <f t="shared" si="0"/>
        <v>Чеснокова Алена Владимировна</v>
      </c>
      <c r="G12" s="4" t="s">
        <v>206</v>
      </c>
      <c r="H12" s="4" t="e">
        <f>VLOOKUP(G12,'[1]Все программы'!$E:$G,3,0)</f>
        <v>#N/A</v>
      </c>
      <c r="I12" s="3" t="s">
        <v>26</v>
      </c>
      <c r="J12" s="3">
        <v>9878998347</v>
      </c>
      <c r="K12" s="3" t="s">
        <v>27</v>
      </c>
      <c r="L12" s="3" t="s">
        <v>5</v>
      </c>
      <c r="M12" s="3" t="s">
        <v>28</v>
      </c>
      <c r="N12" s="3" t="s">
        <v>51</v>
      </c>
      <c r="O12" s="3" t="s">
        <v>8</v>
      </c>
      <c r="P12" s="5">
        <v>46233.707372685189</v>
      </c>
      <c r="Q12" s="3" t="s">
        <v>9</v>
      </c>
    </row>
    <row r="13" spans="1:17" ht="72.75" hidden="1" thickBot="1" x14ac:dyDescent="0.3">
      <c r="A13" s="6"/>
      <c r="B13" s="6">
        <v>46700</v>
      </c>
      <c r="C13" s="7" t="s">
        <v>52</v>
      </c>
      <c r="D13" s="7" t="s">
        <v>53</v>
      </c>
      <c r="E13" s="7" t="s">
        <v>54</v>
      </c>
      <c r="F13" s="4" t="str">
        <f t="shared" si="0"/>
        <v>Тотич Елизавета Илиинична</v>
      </c>
      <c r="G13" s="4" t="s">
        <v>212</v>
      </c>
      <c r="H13" s="4" t="e">
        <f>VLOOKUP(G13,'[1]Все программы'!$E:$G,3,0)</f>
        <v>#N/A</v>
      </c>
      <c r="I13" s="6" t="s">
        <v>55</v>
      </c>
      <c r="J13" s="6">
        <v>9654424429</v>
      </c>
      <c r="K13" s="6" t="s">
        <v>27</v>
      </c>
      <c r="L13" s="6" t="s">
        <v>5</v>
      </c>
      <c r="M13" s="6" t="s">
        <v>28</v>
      </c>
      <c r="N13" s="6" t="s">
        <v>56</v>
      </c>
      <c r="O13" s="6" t="s">
        <v>8</v>
      </c>
      <c r="P13" s="8">
        <v>46234.588090277779</v>
      </c>
      <c r="Q13" s="6" t="s">
        <v>9</v>
      </c>
    </row>
    <row r="14" spans="1:17" ht="72.75" hidden="1" thickBot="1" x14ac:dyDescent="0.3">
      <c r="A14" s="3"/>
      <c r="B14" s="3">
        <v>46734</v>
      </c>
      <c r="C14" s="4" t="s">
        <v>30</v>
      </c>
      <c r="D14" s="4" t="s">
        <v>31</v>
      </c>
      <c r="E14" s="4" t="s">
        <v>32</v>
      </c>
      <c r="F14" s="4" t="str">
        <f t="shared" si="0"/>
        <v>Буранова Сурайё Аслитдиновна</v>
      </c>
      <c r="G14" s="4" t="s">
        <v>207</v>
      </c>
      <c r="H14" s="4" t="e">
        <f>VLOOKUP(G14,'[1]Все программы'!$E:$G,3,0)</f>
        <v>#N/A</v>
      </c>
      <c r="I14" s="3" t="s">
        <v>33</v>
      </c>
      <c r="J14" s="3">
        <v>9099568986</v>
      </c>
      <c r="K14" s="3" t="s">
        <v>27</v>
      </c>
      <c r="L14" s="3" t="s">
        <v>5</v>
      </c>
      <c r="M14" s="3" t="s">
        <v>28</v>
      </c>
      <c r="N14" s="3"/>
      <c r="O14" s="3" t="s">
        <v>8</v>
      </c>
      <c r="P14" s="5">
        <v>46237.60355324074</v>
      </c>
      <c r="Q14" s="3" t="s">
        <v>9</v>
      </c>
    </row>
    <row r="15" spans="1:17" ht="72.75" hidden="1" thickBot="1" x14ac:dyDescent="0.3">
      <c r="A15" s="6"/>
      <c r="B15" s="6">
        <v>46735</v>
      </c>
      <c r="C15" s="7" t="s">
        <v>30</v>
      </c>
      <c r="D15" s="7" t="s">
        <v>31</v>
      </c>
      <c r="E15" s="7" t="s">
        <v>32</v>
      </c>
      <c r="F15" s="4" t="str">
        <f t="shared" si="0"/>
        <v>Буранова Сурайё Аслитдиновна</v>
      </c>
      <c r="G15" s="4" t="s">
        <v>207</v>
      </c>
      <c r="H15" s="4" t="e">
        <f>VLOOKUP(G15,'[1]Все программы'!$E:$G,3,0)</f>
        <v>#N/A</v>
      </c>
      <c r="I15" s="6" t="s">
        <v>33</v>
      </c>
      <c r="J15" s="6">
        <v>9099568986</v>
      </c>
      <c r="K15" s="6" t="s">
        <v>27</v>
      </c>
      <c r="L15" s="6" t="s">
        <v>5</v>
      </c>
      <c r="M15" s="6" t="s">
        <v>28</v>
      </c>
      <c r="N15" s="6"/>
      <c r="O15" s="6" t="s">
        <v>8</v>
      </c>
      <c r="P15" s="8">
        <v>46237.603726851848</v>
      </c>
      <c r="Q15" s="6" t="s">
        <v>9</v>
      </c>
    </row>
    <row r="16" spans="1:17" ht="72.75" hidden="1" thickBot="1" x14ac:dyDescent="0.3">
      <c r="A16" s="3"/>
      <c r="B16" s="3">
        <v>46905</v>
      </c>
      <c r="C16" s="4" t="s">
        <v>57</v>
      </c>
      <c r="D16" s="4" t="s">
        <v>58</v>
      </c>
      <c r="E16" s="4" t="s">
        <v>2</v>
      </c>
      <c r="F16" s="4" t="str">
        <f t="shared" si="0"/>
        <v>Васильева Татьяна Михайловна</v>
      </c>
      <c r="G16" s="4" t="s">
        <v>213</v>
      </c>
      <c r="H16" s="4" t="e">
        <f>VLOOKUP(G16,'[1]Все программы'!$E:$G,3,0)</f>
        <v>#N/A</v>
      </c>
      <c r="I16" s="3" t="s">
        <v>59</v>
      </c>
      <c r="J16" s="3">
        <v>9165502740</v>
      </c>
      <c r="K16" s="3" t="s">
        <v>27</v>
      </c>
      <c r="L16" s="3" t="s">
        <v>5</v>
      </c>
      <c r="M16" s="3" t="s">
        <v>28</v>
      </c>
      <c r="N16" s="3" t="s">
        <v>60</v>
      </c>
      <c r="O16" s="3" t="s">
        <v>8</v>
      </c>
      <c r="P16" s="5">
        <v>46245.555972222224</v>
      </c>
      <c r="Q16" s="3" t="s">
        <v>9</v>
      </c>
    </row>
    <row r="17" spans="1:17" ht="72.75" hidden="1" thickBot="1" x14ac:dyDescent="0.3">
      <c r="A17" s="6"/>
      <c r="B17" s="6">
        <v>47004</v>
      </c>
      <c r="C17" s="7" t="s">
        <v>61</v>
      </c>
      <c r="D17" s="7" t="s">
        <v>39</v>
      </c>
      <c r="E17" s="7" t="s">
        <v>40</v>
      </c>
      <c r="F17" s="4" t="str">
        <f t="shared" si="0"/>
        <v>Клыкова Мария Александровна</v>
      </c>
      <c r="G17" s="4" t="s">
        <v>214</v>
      </c>
      <c r="H17" s="4" t="e">
        <f>VLOOKUP(G17,'[1]Все программы'!$E:$G,3,0)</f>
        <v>#N/A</v>
      </c>
      <c r="I17" s="6" t="s">
        <v>62</v>
      </c>
      <c r="J17" s="6">
        <v>9163131793</v>
      </c>
      <c r="K17" s="6" t="s">
        <v>27</v>
      </c>
      <c r="L17" s="6" t="s">
        <v>5</v>
      </c>
      <c r="M17" s="6" t="s">
        <v>28</v>
      </c>
      <c r="N17" s="6" t="s">
        <v>47</v>
      </c>
      <c r="O17" s="6" t="s">
        <v>8</v>
      </c>
      <c r="P17" s="8">
        <v>46248.682800925926</v>
      </c>
      <c r="Q17" s="6" t="s">
        <v>9</v>
      </c>
    </row>
    <row r="18" spans="1:17" ht="72.75" hidden="1" thickBot="1" x14ac:dyDescent="0.3">
      <c r="A18" s="3"/>
      <c r="B18" s="3">
        <v>47135</v>
      </c>
      <c r="C18" s="4" t="s">
        <v>63</v>
      </c>
      <c r="D18" s="4" t="s">
        <v>64</v>
      </c>
      <c r="E18" s="4" t="s">
        <v>65</v>
      </c>
      <c r="F18" s="4" t="str">
        <f t="shared" si="0"/>
        <v>Сергеева Екатерина Сергеевна</v>
      </c>
      <c r="G18" s="4" t="s">
        <v>215</v>
      </c>
      <c r="H18" s="4" t="e">
        <f>VLOOKUP(G18,'[1]Все программы'!$E:$G,3,0)</f>
        <v>#N/A</v>
      </c>
      <c r="I18" s="3" t="s">
        <v>66</v>
      </c>
      <c r="J18" s="3">
        <v>9653274658</v>
      </c>
      <c r="K18" s="3" t="s">
        <v>27</v>
      </c>
      <c r="L18" s="3" t="s">
        <v>5</v>
      </c>
      <c r="M18" s="3" t="s">
        <v>28</v>
      </c>
      <c r="N18" s="3"/>
      <c r="O18" s="3" t="s">
        <v>8</v>
      </c>
      <c r="P18" s="5">
        <v>46252.8987037037</v>
      </c>
      <c r="Q18" s="3" t="s">
        <v>9</v>
      </c>
    </row>
    <row r="19" spans="1:17" ht="90.75" hidden="1" thickBot="1" x14ac:dyDescent="0.3">
      <c r="A19" s="6"/>
      <c r="B19" s="6">
        <v>47152</v>
      </c>
      <c r="C19" s="7" t="s">
        <v>48</v>
      </c>
      <c r="D19" s="7" t="s">
        <v>49</v>
      </c>
      <c r="E19" s="7" t="s">
        <v>25</v>
      </c>
      <c r="F19" s="4" t="str">
        <f t="shared" si="0"/>
        <v>Алексютенкова Злата Владимировна</v>
      </c>
      <c r="G19" s="4" t="s">
        <v>211</v>
      </c>
      <c r="H19" s="4" t="e">
        <f>VLOOKUP(G19,'[1]Все программы'!$E:$G,3,0)</f>
        <v>#N/A</v>
      </c>
      <c r="I19" s="6" t="s">
        <v>50</v>
      </c>
      <c r="J19" s="6">
        <v>9102338926</v>
      </c>
      <c r="K19" s="6" t="s">
        <v>27</v>
      </c>
      <c r="L19" s="6" t="s">
        <v>5</v>
      </c>
      <c r="M19" s="6" t="s">
        <v>28</v>
      </c>
      <c r="N19" s="6" t="s">
        <v>67</v>
      </c>
      <c r="O19" s="6" t="s">
        <v>8</v>
      </c>
      <c r="P19" s="8">
        <v>46253.697268518517</v>
      </c>
      <c r="Q19" s="6" t="s">
        <v>9</v>
      </c>
    </row>
    <row r="20" spans="1:17" ht="72.75" thickBot="1" x14ac:dyDescent="0.3">
      <c r="A20" s="3"/>
      <c r="B20" s="3">
        <v>47168</v>
      </c>
      <c r="C20" s="4" t="s">
        <v>68</v>
      </c>
      <c r="D20" s="4" t="s">
        <v>69</v>
      </c>
      <c r="E20" s="4" t="s">
        <v>65</v>
      </c>
      <c r="F20" s="4" t="str">
        <f t="shared" si="0"/>
        <v>Маринина Марина Сергеевна</v>
      </c>
      <c r="G20" s="4" t="s">
        <v>216</v>
      </c>
      <c r="H20" s="4" t="e">
        <f>VLOOKUP(G20,'[1]Все программы'!$E:$G,3,0)</f>
        <v>#N/A</v>
      </c>
      <c r="I20" s="3" t="s">
        <v>70</v>
      </c>
      <c r="J20" s="3">
        <v>9224368127</v>
      </c>
      <c r="K20" s="3" t="s">
        <v>27</v>
      </c>
      <c r="L20" s="3" t="s">
        <v>5</v>
      </c>
      <c r="M20" s="3" t="s">
        <v>28</v>
      </c>
      <c r="N20" s="3"/>
      <c r="O20" s="3" t="s">
        <v>8</v>
      </c>
      <c r="P20" s="5">
        <v>46254.437835648147</v>
      </c>
      <c r="Q20" s="3" t="s">
        <v>9</v>
      </c>
    </row>
    <row r="21" spans="1:17" ht="72.75" thickBot="1" x14ac:dyDescent="0.3">
      <c r="A21" s="6"/>
      <c r="B21" s="6">
        <v>47266</v>
      </c>
      <c r="C21" s="7" t="s">
        <v>71</v>
      </c>
      <c r="D21" s="7" t="s">
        <v>72</v>
      </c>
      <c r="E21" s="7"/>
      <c r="F21" s="4" t="str">
        <f t="shared" si="0"/>
        <v xml:space="preserve">Титова Ольга </v>
      </c>
      <c r="G21" s="4" t="s">
        <v>217</v>
      </c>
      <c r="H21" s="4" t="e">
        <f>VLOOKUP(G21,'[1]Все программы'!$E:$G,3,0)</f>
        <v>#N/A</v>
      </c>
      <c r="I21" s="6" t="s">
        <v>73</v>
      </c>
      <c r="J21" s="6">
        <v>9855366364</v>
      </c>
      <c r="K21" s="6" t="s">
        <v>27</v>
      </c>
      <c r="L21" s="6" t="s">
        <v>5</v>
      </c>
      <c r="M21" s="6" t="s">
        <v>28</v>
      </c>
      <c r="N21" s="6" t="s">
        <v>74</v>
      </c>
      <c r="O21" s="6" t="s">
        <v>8</v>
      </c>
      <c r="P21" s="8">
        <v>46257.805393518516</v>
      </c>
      <c r="Q21" s="6" t="s">
        <v>9</v>
      </c>
    </row>
    <row r="22" spans="1:17" ht="72.75" hidden="1" thickBot="1" x14ac:dyDescent="0.3">
      <c r="A22" s="3"/>
      <c r="B22" s="3">
        <v>47342</v>
      </c>
      <c r="C22" s="4" t="s">
        <v>63</v>
      </c>
      <c r="D22" s="4" t="s">
        <v>64</v>
      </c>
      <c r="E22" s="4" t="s">
        <v>65</v>
      </c>
      <c r="F22" s="4" t="str">
        <f t="shared" si="0"/>
        <v>Сергеева Екатерина Сергеевна</v>
      </c>
      <c r="G22" s="4" t="s">
        <v>215</v>
      </c>
      <c r="H22" s="4" t="e">
        <f>VLOOKUP(G22,'[1]Все программы'!$E:$G,3,0)</f>
        <v>#N/A</v>
      </c>
      <c r="I22" s="3" t="s">
        <v>66</v>
      </c>
      <c r="J22" s="3">
        <v>9653274658</v>
      </c>
      <c r="K22" s="3" t="s">
        <v>27</v>
      </c>
      <c r="L22" s="3" t="s">
        <v>5</v>
      </c>
      <c r="M22" s="3" t="s">
        <v>28</v>
      </c>
      <c r="N22" s="3"/>
      <c r="O22" s="3" t="s">
        <v>8</v>
      </c>
      <c r="P22" s="5">
        <v>46259.606539351851</v>
      </c>
      <c r="Q22" s="3" t="s">
        <v>9</v>
      </c>
    </row>
    <row r="23" spans="1:17" ht="90.75" thickBot="1" x14ac:dyDescent="0.3">
      <c r="A23" s="6"/>
      <c r="B23" s="6">
        <v>47577</v>
      </c>
      <c r="C23" s="7" t="s">
        <v>75</v>
      </c>
      <c r="D23" s="7" t="s">
        <v>76</v>
      </c>
      <c r="E23" s="7" t="s">
        <v>77</v>
      </c>
      <c r="F23" s="4" t="str">
        <f t="shared" si="0"/>
        <v>Шеламова Ирина Андреевна</v>
      </c>
      <c r="G23" s="4" t="s">
        <v>218</v>
      </c>
      <c r="H23" s="4" t="e">
        <f>VLOOKUP(G23,'[1]Все программы'!$E:$G,3,0)</f>
        <v>#N/A</v>
      </c>
      <c r="I23" s="6" t="s">
        <v>78</v>
      </c>
      <c r="J23" s="6">
        <v>9150774233</v>
      </c>
      <c r="K23" s="6" t="s">
        <v>27</v>
      </c>
      <c r="L23" s="6" t="s">
        <v>5</v>
      </c>
      <c r="M23" s="6" t="s">
        <v>28</v>
      </c>
      <c r="N23" s="6" t="s">
        <v>79</v>
      </c>
      <c r="O23" s="6" t="s">
        <v>8</v>
      </c>
      <c r="P23" s="8">
        <v>46266.455277777779</v>
      </c>
      <c r="Q23" s="6" t="s">
        <v>9</v>
      </c>
    </row>
    <row r="24" spans="1:17" ht="72.75" thickBot="1" x14ac:dyDescent="0.3">
      <c r="A24" s="3"/>
      <c r="B24" s="3">
        <v>47624</v>
      </c>
      <c r="C24" s="4" t="s">
        <v>80</v>
      </c>
      <c r="D24" s="4" t="s">
        <v>81</v>
      </c>
      <c r="E24" s="4" t="s">
        <v>40</v>
      </c>
      <c r="F24" s="4" t="str">
        <f t="shared" si="0"/>
        <v>Григорьева Елена Александровна</v>
      </c>
      <c r="G24" s="4" t="s">
        <v>219</v>
      </c>
      <c r="H24" s="4" t="e">
        <f>VLOOKUP(G24,'[1]Все программы'!$E:$G,3,0)</f>
        <v>#N/A</v>
      </c>
      <c r="I24" s="3" t="s">
        <v>82</v>
      </c>
      <c r="J24" s="3">
        <v>9372483046</v>
      </c>
      <c r="K24" s="3" t="s">
        <v>27</v>
      </c>
      <c r="L24" s="3" t="s">
        <v>5</v>
      </c>
      <c r="M24" s="3" t="s">
        <v>28</v>
      </c>
      <c r="N24" s="3"/>
      <c r="O24" s="3" t="s">
        <v>8</v>
      </c>
      <c r="P24" s="5">
        <v>46267.47079861111</v>
      </c>
      <c r="Q24" s="3" t="s">
        <v>9</v>
      </c>
    </row>
    <row r="25" spans="1:17" ht="72.75" hidden="1" thickBot="1" x14ac:dyDescent="0.3">
      <c r="A25" s="6"/>
      <c r="B25" s="6">
        <v>45830</v>
      </c>
      <c r="C25" s="7" t="s">
        <v>83</v>
      </c>
      <c r="D25" s="7" t="s">
        <v>39</v>
      </c>
      <c r="E25" s="7" t="s">
        <v>84</v>
      </c>
      <c r="F25" s="4" t="str">
        <f t="shared" si="0"/>
        <v>Аксенова Мария Викторовна</v>
      </c>
      <c r="G25" s="4" t="s">
        <v>220</v>
      </c>
      <c r="H25" s="4" t="e">
        <f>VLOOKUP(G25,'[1]Все программы'!$E:$G,3,0)</f>
        <v>#N/A</v>
      </c>
      <c r="I25" s="6" t="s">
        <v>85</v>
      </c>
      <c r="J25" s="6">
        <v>9259000124</v>
      </c>
      <c r="K25" s="6" t="s">
        <v>86</v>
      </c>
      <c r="L25" s="6" t="s">
        <v>5</v>
      </c>
      <c r="M25" s="6" t="s">
        <v>28</v>
      </c>
      <c r="N25" s="6"/>
      <c r="O25" s="6" t="s">
        <v>8</v>
      </c>
      <c r="P25" s="8">
        <v>46188.350752314815</v>
      </c>
      <c r="Q25" s="6" t="s">
        <v>9</v>
      </c>
    </row>
    <row r="26" spans="1:17" ht="72.75" hidden="1" thickBot="1" x14ac:dyDescent="0.3">
      <c r="A26" s="3"/>
      <c r="B26" s="3">
        <v>45978</v>
      </c>
      <c r="C26" s="4" t="s">
        <v>87</v>
      </c>
      <c r="D26" s="4" t="s">
        <v>58</v>
      </c>
      <c r="E26" s="4" t="s">
        <v>88</v>
      </c>
      <c r="F26" s="4" t="str">
        <f t="shared" si="0"/>
        <v>Тренделова Татьяна Алексеевна</v>
      </c>
      <c r="G26" s="4" t="s">
        <v>221</v>
      </c>
      <c r="H26" s="4" t="e">
        <f>VLOOKUP(G26,'[1]Все программы'!$E:$G,3,0)</f>
        <v>#N/A</v>
      </c>
      <c r="I26" s="3" t="s">
        <v>89</v>
      </c>
      <c r="J26" s="3">
        <v>9636238527</v>
      </c>
      <c r="K26" s="3" t="s">
        <v>86</v>
      </c>
      <c r="L26" s="3" t="s">
        <v>5</v>
      </c>
      <c r="M26" s="3" t="s">
        <v>28</v>
      </c>
      <c r="N26" s="3" t="s">
        <v>7</v>
      </c>
      <c r="O26" s="3" t="s">
        <v>8</v>
      </c>
      <c r="P26" s="5">
        <v>46196.313067129631</v>
      </c>
      <c r="Q26" s="3" t="s">
        <v>9</v>
      </c>
    </row>
    <row r="27" spans="1:17" ht="72.75" hidden="1" thickBot="1" x14ac:dyDescent="0.3">
      <c r="A27" s="6"/>
      <c r="B27" s="6">
        <v>47198</v>
      </c>
      <c r="C27" s="7" t="s">
        <v>90</v>
      </c>
      <c r="D27" s="7" t="s">
        <v>76</v>
      </c>
      <c r="E27" s="7" t="s">
        <v>91</v>
      </c>
      <c r="F27" s="4" t="str">
        <f t="shared" si="0"/>
        <v>Бондаренко Ирина Анатольевна</v>
      </c>
      <c r="G27" s="4" t="s">
        <v>222</v>
      </c>
      <c r="H27" s="4" t="e">
        <f>VLOOKUP(G27,'[1]Все программы'!$E:$G,3,0)</f>
        <v>#N/A</v>
      </c>
      <c r="I27" s="6" t="s">
        <v>92</v>
      </c>
      <c r="J27" s="6">
        <v>9150765456</v>
      </c>
      <c r="K27" s="6" t="s">
        <v>86</v>
      </c>
      <c r="L27" s="6" t="s">
        <v>5</v>
      </c>
      <c r="M27" s="6" t="s">
        <v>28</v>
      </c>
      <c r="N27" s="6" t="s">
        <v>7</v>
      </c>
      <c r="O27" s="6" t="s">
        <v>8</v>
      </c>
      <c r="P27" s="8">
        <v>46254.746805555558</v>
      </c>
      <c r="Q27" s="6" t="s">
        <v>9</v>
      </c>
    </row>
    <row r="28" spans="1:17" ht="72.75" hidden="1" thickBot="1" x14ac:dyDescent="0.3">
      <c r="A28" s="3"/>
      <c r="B28" s="3">
        <v>47200</v>
      </c>
      <c r="C28" s="4" t="s">
        <v>90</v>
      </c>
      <c r="D28" s="4" t="s">
        <v>76</v>
      </c>
      <c r="E28" s="4" t="s">
        <v>91</v>
      </c>
      <c r="F28" s="4" t="str">
        <f t="shared" si="0"/>
        <v>Бондаренко Ирина Анатольевна</v>
      </c>
      <c r="G28" s="4" t="s">
        <v>222</v>
      </c>
      <c r="H28" s="4" t="e">
        <f>VLOOKUP(G28,'[1]Все программы'!$E:$G,3,0)</f>
        <v>#N/A</v>
      </c>
      <c r="I28" s="3" t="s">
        <v>92</v>
      </c>
      <c r="J28" s="3">
        <v>9150765456</v>
      </c>
      <c r="K28" s="3" t="s">
        <v>86</v>
      </c>
      <c r="L28" s="3" t="s">
        <v>5</v>
      </c>
      <c r="M28" s="3" t="s">
        <v>28</v>
      </c>
      <c r="N28" s="3" t="s">
        <v>7</v>
      </c>
      <c r="O28" s="3" t="s">
        <v>8</v>
      </c>
      <c r="P28" s="5">
        <v>46254.748437499999</v>
      </c>
      <c r="Q28" s="3" t="s">
        <v>9</v>
      </c>
    </row>
    <row r="29" spans="1:17" ht="216.75" hidden="1" thickBot="1" x14ac:dyDescent="0.3">
      <c r="A29" s="6"/>
      <c r="B29" s="6">
        <v>47336</v>
      </c>
      <c r="C29" s="7" t="s">
        <v>93</v>
      </c>
      <c r="D29" s="7" t="s">
        <v>64</v>
      </c>
      <c r="E29" s="7" t="s">
        <v>94</v>
      </c>
      <c r="F29" s="4" t="str">
        <f t="shared" si="0"/>
        <v>Спирова Екатерина Борисовна</v>
      </c>
      <c r="G29" s="4" t="s">
        <v>223</v>
      </c>
      <c r="H29" s="4" t="e">
        <f>VLOOKUP(G29,'[1]Все программы'!$E:$G,3,0)</f>
        <v>#N/A</v>
      </c>
      <c r="I29" s="6" t="s">
        <v>95</v>
      </c>
      <c r="J29" s="6">
        <v>9773457340</v>
      </c>
      <c r="K29" s="6" t="s">
        <v>86</v>
      </c>
      <c r="L29" s="6" t="s">
        <v>5</v>
      </c>
      <c r="M29" s="6" t="s">
        <v>28</v>
      </c>
      <c r="N29" s="6" t="s">
        <v>96</v>
      </c>
      <c r="O29" s="6" t="s">
        <v>8</v>
      </c>
      <c r="P29" s="8">
        <v>46259.542800925927</v>
      </c>
      <c r="Q29" s="6" t="s">
        <v>9</v>
      </c>
    </row>
    <row r="30" spans="1:17" ht="216.75" hidden="1" thickBot="1" x14ac:dyDescent="0.3">
      <c r="A30" s="3"/>
      <c r="B30" s="3">
        <v>47337</v>
      </c>
      <c r="C30" s="4" t="s">
        <v>93</v>
      </c>
      <c r="D30" s="4" t="s">
        <v>64</v>
      </c>
      <c r="E30" s="4" t="s">
        <v>94</v>
      </c>
      <c r="F30" s="4" t="str">
        <f t="shared" si="0"/>
        <v>Спирова Екатерина Борисовна</v>
      </c>
      <c r="G30" s="4" t="s">
        <v>223</v>
      </c>
      <c r="H30" s="4" t="e">
        <f>VLOOKUP(G30,'[1]Все программы'!$E:$G,3,0)</f>
        <v>#N/A</v>
      </c>
      <c r="I30" s="3" t="s">
        <v>95</v>
      </c>
      <c r="J30" s="3">
        <v>9773457340</v>
      </c>
      <c r="K30" s="3" t="s">
        <v>86</v>
      </c>
      <c r="L30" s="3" t="s">
        <v>5</v>
      </c>
      <c r="M30" s="3" t="s">
        <v>28</v>
      </c>
      <c r="N30" s="3" t="s">
        <v>96</v>
      </c>
      <c r="O30" s="3" t="s">
        <v>8</v>
      </c>
      <c r="P30" s="5">
        <v>46259.543078703704</v>
      </c>
      <c r="Q30" s="3" t="s">
        <v>9</v>
      </c>
    </row>
    <row r="31" spans="1:17" ht="126.75" thickBot="1" x14ac:dyDescent="0.3">
      <c r="A31" s="6"/>
      <c r="B31" s="6">
        <v>47382</v>
      </c>
      <c r="C31" s="7" t="s">
        <v>97</v>
      </c>
      <c r="D31" s="7" t="s">
        <v>98</v>
      </c>
      <c r="E31" s="7"/>
      <c r="F31" s="4" t="str">
        <f t="shared" si="0"/>
        <v xml:space="preserve">Скрипина Наталья </v>
      </c>
      <c r="G31" s="4" t="s">
        <v>224</v>
      </c>
      <c r="H31" s="4" t="e">
        <f>VLOOKUP(G31,'[1]Все программы'!$E:$G,3,0)</f>
        <v>#N/A</v>
      </c>
      <c r="I31" s="6" t="s">
        <v>99</v>
      </c>
      <c r="J31" s="6">
        <v>9150013693</v>
      </c>
      <c r="K31" s="6" t="s">
        <v>86</v>
      </c>
      <c r="L31" s="6" t="s">
        <v>5</v>
      </c>
      <c r="M31" s="6" t="s">
        <v>28</v>
      </c>
      <c r="N31" s="6" t="s">
        <v>100</v>
      </c>
      <c r="O31" s="6" t="s">
        <v>8</v>
      </c>
      <c r="P31" s="8">
        <v>46260.661030092589</v>
      </c>
      <c r="Q31" s="6" t="s">
        <v>9</v>
      </c>
    </row>
    <row r="32" spans="1:17" ht="72.75" hidden="1" thickBot="1" x14ac:dyDescent="0.3">
      <c r="A32" s="3"/>
      <c r="B32" s="3">
        <v>47564</v>
      </c>
      <c r="C32" s="4" t="s">
        <v>101</v>
      </c>
      <c r="D32" s="4" t="s">
        <v>58</v>
      </c>
      <c r="E32" s="4" t="s">
        <v>88</v>
      </c>
      <c r="F32" s="4" t="str">
        <f t="shared" si="0"/>
        <v>Тренделева Татьяна Алексеевна</v>
      </c>
      <c r="G32" s="4" t="s">
        <v>225</v>
      </c>
      <c r="H32" s="4" t="e">
        <f>VLOOKUP(G32,'[1]Все программы'!$E:$G,3,0)</f>
        <v>#N/A</v>
      </c>
      <c r="I32" s="3" t="s">
        <v>89</v>
      </c>
      <c r="J32" s="3">
        <v>9636238527</v>
      </c>
      <c r="K32" s="3" t="s">
        <v>86</v>
      </c>
      <c r="L32" s="3" t="s">
        <v>5</v>
      </c>
      <c r="M32" s="3" t="s">
        <v>28</v>
      </c>
      <c r="N32" s="3" t="s">
        <v>7</v>
      </c>
      <c r="O32" s="3" t="s">
        <v>8</v>
      </c>
      <c r="P32" s="5">
        <v>46265.720231481479</v>
      </c>
      <c r="Q32" s="3" t="s">
        <v>9</v>
      </c>
    </row>
    <row r="33" spans="1:17" ht="72.75" hidden="1" thickBot="1" x14ac:dyDescent="0.3">
      <c r="A33" s="6"/>
      <c r="B33" s="6">
        <v>45724</v>
      </c>
      <c r="C33" s="7" t="s">
        <v>102</v>
      </c>
      <c r="D33" s="7" t="s">
        <v>103</v>
      </c>
      <c r="E33" s="7" t="s">
        <v>104</v>
      </c>
      <c r="F33" s="4" t="str">
        <f t="shared" si="0"/>
        <v>Белова Полина Петровна</v>
      </c>
      <c r="G33" s="4" t="s">
        <v>226</v>
      </c>
      <c r="H33" s="4" t="e">
        <f>VLOOKUP(G33,'[1]Все программы'!$E:$G,3,0)</f>
        <v>#N/A</v>
      </c>
      <c r="I33" s="6" t="s">
        <v>105</v>
      </c>
      <c r="J33" s="6">
        <v>9657833553</v>
      </c>
      <c r="K33" s="6" t="s">
        <v>106</v>
      </c>
      <c r="L33" s="6" t="s">
        <v>5</v>
      </c>
      <c r="M33" s="6" t="s">
        <v>28</v>
      </c>
      <c r="N33" s="6"/>
      <c r="O33" s="6" t="s">
        <v>8</v>
      </c>
      <c r="P33" s="8">
        <v>46180.439027777778</v>
      </c>
      <c r="Q33" s="6" t="s">
        <v>9</v>
      </c>
    </row>
    <row r="34" spans="1:17" ht="108.75" hidden="1" thickBot="1" x14ac:dyDescent="0.3">
      <c r="A34" s="3"/>
      <c r="B34" s="3">
        <v>45772</v>
      </c>
      <c r="C34" s="4" t="s">
        <v>107</v>
      </c>
      <c r="D34" s="4" t="s">
        <v>108</v>
      </c>
      <c r="E34" s="4" t="s">
        <v>88</v>
      </c>
      <c r="F34" s="4" t="str">
        <f t="shared" si="0"/>
        <v>Логвинова Дарья Алексеевна</v>
      </c>
      <c r="G34" s="4" t="s">
        <v>227</v>
      </c>
      <c r="H34" s="4" t="e">
        <f>VLOOKUP(G34,'[1]Все программы'!$E:$G,3,0)</f>
        <v>#N/A</v>
      </c>
      <c r="I34" s="3" t="s">
        <v>109</v>
      </c>
      <c r="J34" s="3">
        <v>9150952289</v>
      </c>
      <c r="K34" s="3" t="s">
        <v>106</v>
      </c>
      <c r="L34" s="3" t="s">
        <v>5</v>
      </c>
      <c r="M34" s="3" t="s">
        <v>28</v>
      </c>
      <c r="N34" s="3" t="s">
        <v>110</v>
      </c>
      <c r="O34" s="3" t="s">
        <v>8</v>
      </c>
      <c r="P34" s="5">
        <v>46183.642557870371</v>
      </c>
      <c r="Q34" s="3" t="s">
        <v>9</v>
      </c>
    </row>
    <row r="35" spans="1:17" ht="90.75" hidden="1" thickBot="1" x14ac:dyDescent="0.3">
      <c r="A35" s="6"/>
      <c r="B35" s="6">
        <v>45796</v>
      </c>
      <c r="C35" s="7" t="s">
        <v>111</v>
      </c>
      <c r="D35" s="7" t="s">
        <v>112</v>
      </c>
      <c r="E35" s="7" t="s">
        <v>113</v>
      </c>
      <c r="F35" s="4" t="str">
        <f t="shared" si="0"/>
        <v>Кудякова Гюзель Амировна</v>
      </c>
      <c r="G35" s="4" t="s">
        <v>228</v>
      </c>
      <c r="H35" s="4" t="e">
        <f>VLOOKUP(G35,'[1]Все программы'!$E:$G,3,0)</f>
        <v>#N/A</v>
      </c>
      <c r="I35" s="6" t="s">
        <v>114</v>
      </c>
      <c r="J35" s="6">
        <v>9858474503</v>
      </c>
      <c r="K35" s="6" t="s">
        <v>106</v>
      </c>
      <c r="L35" s="6" t="s">
        <v>5</v>
      </c>
      <c r="M35" s="6" t="s">
        <v>28</v>
      </c>
      <c r="N35" s="6" t="s">
        <v>115</v>
      </c>
      <c r="O35" s="6" t="s">
        <v>8</v>
      </c>
      <c r="P35" s="8">
        <v>46184.780729166669</v>
      </c>
      <c r="Q35" s="6" t="s">
        <v>9</v>
      </c>
    </row>
    <row r="36" spans="1:17" ht="198.75" hidden="1" thickBot="1" x14ac:dyDescent="0.3">
      <c r="A36" s="3"/>
      <c r="B36" s="3">
        <v>45809</v>
      </c>
      <c r="C36" s="4" t="s">
        <v>116</v>
      </c>
      <c r="D36" s="4" t="s">
        <v>117</v>
      </c>
      <c r="E36" s="4" t="s">
        <v>118</v>
      </c>
      <c r="F36" s="4" t="str">
        <f t="shared" si="0"/>
        <v>Потанин Сергей Вячеславович</v>
      </c>
      <c r="G36" s="4" t="s">
        <v>229</v>
      </c>
      <c r="H36" s="4" t="e">
        <f>VLOOKUP(G36,'[1]Все программы'!$E:$G,3,0)</f>
        <v>#N/A</v>
      </c>
      <c r="I36" s="3" t="s">
        <v>119</v>
      </c>
      <c r="J36" s="3">
        <v>9493734509</v>
      </c>
      <c r="K36" s="3" t="s">
        <v>106</v>
      </c>
      <c r="L36" s="3" t="s">
        <v>5</v>
      </c>
      <c r="M36" s="3" t="s">
        <v>28</v>
      </c>
      <c r="N36" s="3" t="s">
        <v>120</v>
      </c>
      <c r="O36" s="3" t="s">
        <v>8</v>
      </c>
      <c r="P36" s="5">
        <v>46185.972430555557</v>
      </c>
      <c r="Q36" s="3" t="s">
        <v>9</v>
      </c>
    </row>
    <row r="37" spans="1:17" ht="198.75" thickBot="1" x14ac:dyDescent="0.3">
      <c r="A37" s="6"/>
      <c r="B37" s="6">
        <v>45901</v>
      </c>
      <c r="C37" s="7" t="s">
        <v>116</v>
      </c>
      <c r="D37" s="7" t="s">
        <v>117</v>
      </c>
      <c r="E37" s="7"/>
      <c r="F37" s="4" t="str">
        <f t="shared" si="0"/>
        <v xml:space="preserve">Потанин Сергей </v>
      </c>
      <c r="G37" s="4" t="s">
        <v>230</v>
      </c>
      <c r="H37" s="4" t="e">
        <f>VLOOKUP(G37,'[1]Все программы'!$E:$G,3,0)</f>
        <v>#N/A</v>
      </c>
      <c r="I37" s="6" t="s">
        <v>119</v>
      </c>
      <c r="J37" s="6">
        <v>9493734509</v>
      </c>
      <c r="K37" s="6" t="s">
        <v>106</v>
      </c>
      <c r="L37" s="6" t="s">
        <v>5</v>
      </c>
      <c r="M37" s="6" t="s">
        <v>28</v>
      </c>
      <c r="N37" s="6" t="s">
        <v>120</v>
      </c>
      <c r="O37" s="6" t="s">
        <v>8</v>
      </c>
      <c r="P37" s="8">
        <v>46190.711608796293</v>
      </c>
      <c r="Q37" s="6" t="s">
        <v>9</v>
      </c>
    </row>
    <row r="38" spans="1:17" ht="72.75" hidden="1" thickBot="1" x14ac:dyDescent="0.3">
      <c r="A38" s="3"/>
      <c r="B38" s="3">
        <v>45916</v>
      </c>
      <c r="C38" s="4" t="s">
        <v>90</v>
      </c>
      <c r="D38" s="4" t="s">
        <v>76</v>
      </c>
      <c r="E38" s="4" t="s">
        <v>91</v>
      </c>
      <c r="F38" s="4" t="str">
        <f t="shared" si="0"/>
        <v>Бондаренко Ирина Анатольевна</v>
      </c>
      <c r="G38" s="4" t="s">
        <v>222</v>
      </c>
      <c r="H38" s="4" t="e">
        <f>VLOOKUP(G38,'[1]Все программы'!$E:$G,3,0)</f>
        <v>#N/A</v>
      </c>
      <c r="I38" s="3" t="s">
        <v>121</v>
      </c>
      <c r="J38" s="3">
        <v>9150765456</v>
      </c>
      <c r="K38" s="3" t="s">
        <v>106</v>
      </c>
      <c r="L38" s="3" t="s">
        <v>5</v>
      </c>
      <c r="M38" s="3" t="s">
        <v>28</v>
      </c>
      <c r="N38" s="3" t="s">
        <v>7</v>
      </c>
      <c r="O38" s="3" t="s">
        <v>8</v>
      </c>
      <c r="P38" s="5">
        <v>46191.615833333337</v>
      </c>
      <c r="Q38" s="3" t="s">
        <v>9</v>
      </c>
    </row>
    <row r="39" spans="1:17" ht="72.75" hidden="1" thickBot="1" x14ac:dyDescent="0.3">
      <c r="A39" s="6"/>
      <c r="B39" s="6">
        <v>46187</v>
      </c>
      <c r="C39" s="7" t="s">
        <v>122</v>
      </c>
      <c r="D39" s="7" t="s">
        <v>123</v>
      </c>
      <c r="E39" s="7" t="s">
        <v>40</v>
      </c>
      <c r="F39" s="4" t="str">
        <f t="shared" si="0"/>
        <v>Трефилова Анастасия Александровна</v>
      </c>
      <c r="G39" s="4" t="s">
        <v>231</v>
      </c>
      <c r="H39" s="4" t="e">
        <f>VLOOKUP(G39,'[1]Все программы'!$E:$G,3,0)</f>
        <v>#N/A</v>
      </c>
      <c r="I39" s="6" t="s">
        <v>124</v>
      </c>
      <c r="J39" s="6">
        <v>9169091260</v>
      </c>
      <c r="K39" s="6" t="s">
        <v>106</v>
      </c>
      <c r="L39" s="6" t="s">
        <v>5</v>
      </c>
      <c r="M39" s="6" t="s">
        <v>28</v>
      </c>
      <c r="N39" s="6" t="s">
        <v>125</v>
      </c>
      <c r="O39" s="6" t="s">
        <v>8</v>
      </c>
      <c r="P39" s="8">
        <v>46206.66846064815</v>
      </c>
      <c r="Q39" s="6" t="s">
        <v>9</v>
      </c>
    </row>
    <row r="40" spans="1:17" ht="126.75" hidden="1" thickBot="1" x14ac:dyDescent="0.3">
      <c r="A40" s="3"/>
      <c r="B40" s="3">
        <v>46196</v>
      </c>
      <c r="C40" s="4" t="s">
        <v>126</v>
      </c>
      <c r="D40" s="4" t="s">
        <v>35</v>
      </c>
      <c r="E40" s="4" t="s">
        <v>127</v>
      </c>
      <c r="F40" s="4" t="str">
        <f t="shared" si="0"/>
        <v>Карягина Ксения Олеговна</v>
      </c>
      <c r="G40" s="4" t="s">
        <v>232</v>
      </c>
      <c r="H40" s="4" t="e">
        <f>VLOOKUP(G40,'[1]Все программы'!$E:$G,3,0)</f>
        <v>#N/A</v>
      </c>
      <c r="I40" s="3" t="s">
        <v>128</v>
      </c>
      <c r="J40" s="3">
        <v>9151230153</v>
      </c>
      <c r="K40" s="3" t="s">
        <v>106</v>
      </c>
      <c r="L40" s="3" t="s">
        <v>5</v>
      </c>
      <c r="M40" s="3" t="s">
        <v>28</v>
      </c>
      <c r="N40" s="3" t="s">
        <v>129</v>
      </c>
      <c r="O40" s="3" t="s">
        <v>8</v>
      </c>
      <c r="P40" s="5">
        <v>46207.431747685187</v>
      </c>
      <c r="Q40" s="3" t="s">
        <v>9</v>
      </c>
    </row>
    <row r="41" spans="1:17" ht="342.75" hidden="1" thickBot="1" x14ac:dyDescent="0.3">
      <c r="A41" s="6"/>
      <c r="B41" s="6">
        <v>46207</v>
      </c>
      <c r="C41" s="7" t="s">
        <v>130</v>
      </c>
      <c r="D41" s="7" t="s">
        <v>35</v>
      </c>
      <c r="E41" s="7" t="s">
        <v>131</v>
      </c>
      <c r="F41" s="4" t="str">
        <f t="shared" si="0"/>
        <v>Сумина Ксения Дмитриевна</v>
      </c>
      <c r="G41" s="4" t="s">
        <v>233</v>
      </c>
      <c r="H41" s="4" t="e">
        <f>VLOOKUP(G41,'[1]Все программы'!$E:$G,3,0)</f>
        <v>#N/A</v>
      </c>
      <c r="I41" s="6" t="s">
        <v>132</v>
      </c>
      <c r="J41" s="6">
        <v>9771762391</v>
      </c>
      <c r="K41" s="6" t="s">
        <v>106</v>
      </c>
      <c r="L41" s="6" t="s">
        <v>5</v>
      </c>
      <c r="M41" s="6" t="s">
        <v>28</v>
      </c>
      <c r="N41" s="6" t="s">
        <v>133</v>
      </c>
      <c r="O41" s="6" t="s">
        <v>8</v>
      </c>
      <c r="P41" s="8">
        <v>46208.800104166665</v>
      </c>
      <c r="Q41" s="6" t="s">
        <v>9</v>
      </c>
    </row>
    <row r="42" spans="1:17" ht="72.75" hidden="1" thickBot="1" x14ac:dyDescent="0.3">
      <c r="A42" s="3"/>
      <c r="B42" s="3">
        <v>46464</v>
      </c>
      <c r="C42" s="4" t="s">
        <v>134</v>
      </c>
      <c r="D42" s="4" t="s">
        <v>135</v>
      </c>
      <c r="E42" s="4" t="s">
        <v>136</v>
      </c>
      <c r="F42" s="4" t="str">
        <f t="shared" si="0"/>
        <v>Имранова Эльнара Тагировна</v>
      </c>
      <c r="G42" s="4" t="s">
        <v>234</v>
      </c>
      <c r="H42" s="4" t="e">
        <f>VLOOKUP(G42,'[1]Все программы'!$E:$G,3,0)</f>
        <v>#N/A</v>
      </c>
      <c r="I42" s="3" t="s">
        <v>137</v>
      </c>
      <c r="J42" s="3">
        <v>9777841312</v>
      </c>
      <c r="K42" s="3" t="s">
        <v>106</v>
      </c>
      <c r="L42" s="3" t="s">
        <v>5</v>
      </c>
      <c r="M42" s="3" t="s">
        <v>28</v>
      </c>
      <c r="N42" s="3" t="s">
        <v>138</v>
      </c>
      <c r="O42" s="3" t="s">
        <v>8</v>
      </c>
      <c r="P42" s="5">
        <v>46221.989189814813</v>
      </c>
      <c r="Q42" s="3" t="s">
        <v>9</v>
      </c>
    </row>
    <row r="43" spans="1:17" ht="72.75" hidden="1" thickBot="1" x14ac:dyDescent="0.3">
      <c r="A43" s="6"/>
      <c r="B43" s="6">
        <v>46477</v>
      </c>
      <c r="C43" s="7" t="s">
        <v>139</v>
      </c>
      <c r="D43" s="7" t="s">
        <v>53</v>
      </c>
      <c r="E43" s="7" t="s">
        <v>77</v>
      </c>
      <c r="F43" s="4" t="str">
        <f t="shared" si="0"/>
        <v>Стручкова Елизавета Андреевна</v>
      </c>
      <c r="G43" s="4" t="s">
        <v>235</v>
      </c>
      <c r="H43" s="4" t="e">
        <f>VLOOKUP(G43,'[1]Все программы'!$E:$G,3,0)</f>
        <v>#N/A</v>
      </c>
      <c r="I43" s="6" t="s">
        <v>140</v>
      </c>
      <c r="J43" s="6">
        <v>9030008779</v>
      </c>
      <c r="K43" s="6" t="s">
        <v>106</v>
      </c>
      <c r="L43" s="6" t="s">
        <v>5</v>
      </c>
      <c r="M43" s="6" t="s">
        <v>28</v>
      </c>
      <c r="N43" s="6"/>
      <c r="O43" s="6" t="s">
        <v>8</v>
      </c>
      <c r="P43" s="8">
        <v>46223.380752314813</v>
      </c>
      <c r="Q43" s="6" t="s">
        <v>9</v>
      </c>
    </row>
    <row r="44" spans="1:17" ht="72.75" hidden="1" thickBot="1" x14ac:dyDescent="0.3">
      <c r="A44" s="3"/>
      <c r="B44" s="3">
        <v>46515</v>
      </c>
      <c r="C44" s="4" t="s">
        <v>141</v>
      </c>
      <c r="D44" s="4" t="s">
        <v>142</v>
      </c>
      <c r="E44" s="4" t="s">
        <v>2</v>
      </c>
      <c r="F44" s="4" t="str">
        <f t="shared" si="0"/>
        <v>Свисткова Виолетта Михайловна</v>
      </c>
      <c r="G44" s="4" t="s">
        <v>236</v>
      </c>
      <c r="H44" s="4" t="e">
        <f>VLOOKUP(G44,'[1]Все программы'!$E:$G,3,0)</f>
        <v>#N/A</v>
      </c>
      <c r="I44" s="3" t="s">
        <v>143</v>
      </c>
      <c r="J44" s="3">
        <v>9003880078</v>
      </c>
      <c r="K44" s="3" t="s">
        <v>106</v>
      </c>
      <c r="L44" s="3" t="s">
        <v>5</v>
      </c>
      <c r="M44" s="3" t="s">
        <v>28</v>
      </c>
      <c r="N44" s="3" t="s">
        <v>144</v>
      </c>
      <c r="O44" s="3" t="s">
        <v>8</v>
      </c>
      <c r="P44" s="5">
        <v>46224.770277777781</v>
      </c>
      <c r="Q44" s="3" t="s">
        <v>9</v>
      </c>
    </row>
    <row r="45" spans="1:17" ht="72.75" hidden="1" thickBot="1" x14ac:dyDescent="0.3">
      <c r="A45" s="6"/>
      <c r="B45" s="6">
        <v>46581</v>
      </c>
      <c r="C45" s="7" t="s">
        <v>134</v>
      </c>
      <c r="D45" s="7" t="s">
        <v>135</v>
      </c>
      <c r="E45" s="7" t="s">
        <v>136</v>
      </c>
      <c r="F45" s="4" t="str">
        <f t="shared" si="0"/>
        <v>Имранова Эльнара Тагировна</v>
      </c>
      <c r="G45" s="4" t="s">
        <v>234</v>
      </c>
      <c r="H45" s="4" t="e">
        <f>VLOOKUP(G45,'[1]Все программы'!$E:$G,3,0)</f>
        <v>#N/A</v>
      </c>
      <c r="I45" s="6" t="s">
        <v>137</v>
      </c>
      <c r="J45" s="6">
        <v>9777841312</v>
      </c>
      <c r="K45" s="6" t="s">
        <v>106</v>
      </c>
      <c r="L45" s="6" t="s">
        <v>5</v>
      </c>
      <c r="M45" s="6" t="s">
        <v>28</v>
      </c>
      <c r="N45" s="6" t="s">
        <v>138</v>
      </c>
      <c r="O45" s="6" t="s">
        <v>8</v>
      </c>
      <c r="P45" s="8">
        <v>46227.677164351851</v>
      </c>
      <c r="Q45" s="6" t="s">
        <v>9</v>
      </c>
    </row>
    <row r="46" spans="1:17" ht="108.75" hidden="1" thickBot="1" x14ac:dyDescent="0.3">
      <c r="A46" s="3"/>
      <c r="B46" s="3">
        <v>46676</v>
      </c>
      <c r="C46" s="4" t="s">
        <v>145</v>
      </c>
      <c r="D46" s="4" t="s">
        <v>39</v>
      </c>
      <c r="E46" s="4" t="s">
        <v>146</v>
      </c>
      <c r="F46" s="4" t="str">
        <f t="shared" si="0"/>
        <v>Шрамова Мария Николаевна</v>
      </c>
      <c r="G46" s="4" t="s">
        <v>237</v>
      </c>
      <c r="H46" s="4" t="e">
        <f>VLOOKUP(G46,'[1]Все программы'!$E:$G,3,0)</f>
        <v>#N/A</v>
      </c>
      <c r="I46" s="3" t="s">
        <v>147</v>
      </c>
      <c r="J46" s="3">
        <v>9113759171</v>
      </c>
      <c r="K46" s="3" t="s">
        <v>106</v>
      </c>
      <c r="L46" s="3" t="s">
        <v>5</v>
      </c>
      <c r="M46" s="3" t="s">
        <v>28</v>
      </c>
      <c r="N46" s="3" t="s">
        <v>148</v>
      </c>
      <c r="O46" s="3" t="s">
        <v>8</v>
      </c>
      <c r="P46" s="5">
        <v>46232.954097222224</v>
      </c>
      <c r="Q46" s="3" t="s">
        <v>9</v>
      </c>
    </row>
    <row r="47" spans="1:17" ht="72.75" hidden="1" thickBot="1" x14ac:dyDescent="0.3">
      <c r="A47" s="6"/>
      <c r="B47" s="6">
        <v>46687</v>
      </c>
      <c r="C47" s="7" t="s">
        <v>149</v>
      </c>
      <c r="D47" s="7" t="s">
        <v>150</v>
      </c>
      <c r="E47" s="7" t="s">
        <v>151</v>
      </c>
      <c r="F47" s="4" t="str">
        <f t="shared" si="0"/>
        <v>Еременко Анна Леонидовна</v>
      </c>
      <c r="G47" s="4" t="s">
        <v>238</v>
      </c>
      <c r="H47" s="4" t="e">
        <f>VLOOKUP(G47,'[1]Все программы'!$E:$G,3,0)</f>
        <v>#N/A</v>
      </c>
      <c r="I47" s="6" t="s">
        <v>152</v>
      </c>
      <c r="J47" s="6">
        <v>9772516956</v>
      </c>
      <c r="K47" s="6" t="s">
        <v>106</v>
      </c>
      <c r="L47" s="6" t="s">
        <v>5</v>
      </c>
      <c r="M47" s="6" t="s">
        <v>28</v>
      </c>
      <c r="N47" s="6" t="s">
        <v>153</v>
      </c>
      <c r="O47" s="6" t="s">
        <v>8</v>
      </c>
      <c r="P47" s="8">
        <v>46233.70107638889</v>
      </c>
      <c r="Q47" s="6" t="s">
        <v>9</v>
      </c>
    </row>
    <row r="48" spans="1:17" ht="72.75" hidden="1" thickBot="1" x14ac:dyDescent="0.3">
      <c r="A48" s="3"/>
      <c r="B48" s="3">
        <v>46728</v>
      </c>
      <c r="C48" s="4" t="s">
        <v>149</v>
      </c>
      <c r="D48" s="4" t="s">
        <v>150</v>
      </c>
      <c r="E48" s="4" t="s">
        <v>151</v>
      </c>
      <c r="F48" s="4" t="str">
        <f t="shared" si="0"/>
        <v>Еременко Анна Леонидовна</v>
      </c>
      <c r="G48" s="4" t="s">
        <v>238</v>
      </c>
      <c r="H48" s="4" t="e">
        <f>VLOOKUP(G48,'[1]Все программы'!$E:$G,3,0)</f>
        <v>#N/A</v>
      </c>
      <c r="I48" s="3" t="s">
        <v>152</v>
      </c>
      <c r="J48" s="3">
        <v>9772516956</v>
      </c>
      <c r="K48" s="3" t="s">
        <v>106</v>
      </c>
      <c r="L48" s="3" t="s">
        <v>5</v>
      </c>
      <c r="M48" s="3" t="s">
        <v>28</v>
      </c>
      <c r="N48" s="3" t="s">
        <v>153</v>
      </c>
      <c r="O48" s="3" t="s">
        <v>8</v>
      </c>
      <c r="P48" s="5">
        <v>46237.004953703705</v>
      </c>
      <c r="Q48" s="3" t="s">
        <v>9</v>
      </c>
    </row>
    <row r="49" spans="1:17" ht="108.75" hidden="1" thickBot="1" x14ac:dyDescent="0.3">
      <c r="A49" s="6"/>
      <c r="B49" s="6">
        <v>46740</v>
      </c>
      <c r="C49" s="7" t="s">
        <v>154</v>
      </c>
      <c r="D49" s="7" t="s">
        <v>155</v>
      </c>
      <c r="E49" s="7" t="s">
        <v>156</v>
      </c>
      <c r="F49" s="4" t="str">
        <f t="shared" si="0"/>
        <v>Минишева Валентина Рашитовна</v>
      </c>
      <c r="G49" s="4" t="s">
        <v>239</v>
      </c>
      <c r="H49" s="4" t="e">
        <f>VLOOKUP(G49,'[1]Все программы'!$E:$G,3,0)</f>
        <v>#N/A</v>
      </c>
      <c r="I49" s="6" t="s">
        <v>157</v>
      </c>
      <c r="J49" s="6">
        <v>9150069095</v>
      </c>
      <c r="K49" s="6" t="s">
        <v>106</v>
      </c>
      <c r="L49" s="6" t="s">
        <v>5</v>
      </c>
      <c r="M49" s="6" t="s">
        <v>28</v>
      </c>
      <c r="N49" s="6" t="s">
        <v>158</v>
      </c>
      <c r="O49" s="6" t="s">
        <v>8</v>
      </c>
      <c r="P49" s="8">
        <v>46237.70888888889</v>
      </c>
      <c r="Q49" s="6" t="s">
        <v>9</v>
      </c>
    </row>
    <row r="50" spans="1:17" ht="409.6" hidden="1" thickBot="1" x14ac:dyDescent="0.3">
      <c r="A50" s="3"/>
      <c r="B50" s="3">
        <v>46785</v>
      </c>
      <c r="C50" s="4" t="s">
        <v>159</v>
      </c>
      <c r="D50" s="4" t="s">
        <v>160</v>
      </c>
      <c r="E50" s="4" t="s">
        <v>161</v>
      </c>
      <c r="F50" s="4" t="str">
        <f t="shared" si="0"/>
        <v>Машарипова Зулайха Юсуповна</v>
      </c>
      <c r="G50" s="4" t="s">
        <v>240</v>
      </c>
      <c r="H50" s="4" t="e">
        <f>VLOOKUP(G50,'[1]Все программы'!$E:$G,3,0)</f>
        <v>#N/A</v>
      </c>
      <c r="I50" s="3" t="s">
        <v>162</v>
      </c>
      <c r="J50" s="3">
        <v>9255954955</v>
      </c>
      <c r="K50" s="3" t="s">
        <v>106</v>
      </c>
      <c r="L50" s="3" t="s">
        <v>5</v>
      </c>
      <c r="M50" s="3" t="s">
        <v>28</v>
      </c>
      <c r="N50" s="3" t="s">
        <v>163</v>
      </c>
      <c r="O50" s="3" t="s">
        <v>8</v>
      </c>
      <c r="P50" s="5">
        <v>46239.908784722225</v>
      </c>
      <c r="Q50" s="3" t="s">
        <v>9</v>
      </c>
    </row>
    <row r="51" spans="1:17" ht="72.75" hidden="1" thickBot="1" x14ac:dyDescent="0.3">
      <c r="A51" s="6"/>
      <c r="B51" s="6">
        <v>46921</v>
      </c>
      <c r="C51" s="7" t="s">
        <v>164</v>
      </c>
      <c r="D51" s="7" t="s">
        <v>72</v>
      </c>
      <c r="E51" s="7" t="s">
        <v>25</v>
      </c>
      <c r="F51" s="4" t="str">
        <f t="shared" si="0"/>
        <v>Сухобокова Ольга Владимировна</v>
      </c>
      <c r="G51" s="4" t="s">
        <v>241</v>
      </c>
      <c r="H51" s="4" t="e">
        <f>VLOOKUP(G51,'[1]Все программы'!$E:$G,3,0)</f>
        <v>#N/A</v>
      </c>
      <c r="I51" s="6" t="s">
        <v>165</v>
      </c>
      <c r="J51" s="6">
        <v>9169876650</v>
      </c>
      <c r="K51" s="6" t="s">
        <v>106</v>
      </c>
      <c r="L51" s="6" t="s">
        <v>5</v>
      </c>
      <c r="M51" s="6" t="s">
        <v>28</v>
      </c>
      <c r="N51" s="6"/>
      <c r="O51" s="6" t="s">
        <v>8</v>
      </c>
      <c r="P51" s="8">
        <v>46246.080474537041</v>
      </c>
      <c r="Q51" s="6" t="s">
        <v>9</v>
      </c>
    </row>
    <row r="52" spans="1:17" ht="90.75" hidden="1" thickBot="1" x14ac:dyDescent="0.3">
      <c r="A52" s="3"/>
      <c r="B52" s="3">
        <v>47105</v>
      </c>
      <c r="C52" s="4" t="s">
        <v>166</v>
      </c>
      <c r="D52" s="4" t="s">
        <v>167</v>
      </c>
      <c r="E52" s="4" t="s">
        <v>168</v>
      </c>
      <c r="F52" s="4" t="str">
        <f t="shared" si="0"/>
        <v>Ерижепова Дина Суюндуковна</v>
      </c>
      <c r="G52" s="4" t="s">
        <v>242</v>
      </c>
      <c r="H52" s="4" t="e">
        <f>VLOOKUP(G52,'[1]Все программы'!$E:$G,3,0)</f>
        <v>#N/A</v>
      </c>
      <c r="I52" s="3" t="s">
        <v>169</v>
      </c>
      <c r="J52" s="3">
        <v>9648852053</v>
      </c>
      <c r="K52" s="3" t="s">
        <v>106</v>
      </c>
      <c r="L52" s="3" t="s">
        <v>5</v>
      </c>
      <c r="M52" s="3" t="s">
        <v>28</v>
      </c>
      <c r="N52" s="3" t="s">
        <v>170</v>
      </c>
      <c r="O52" s="3" t="s">
        <v>8</v>
      </c>
      <c r="P52" s="5">
        <v>46252.490347222221</v>
      </c>
      <c r="Q52" s="3" t="s">
        <v>9</v>
      </c>
    </row>
    <row r="53" spans="1:17" ht="72.75" thickBot="1" x14ac:dyDescent="0.3">
      <c r="A53" s="6"/>
      <c r="B53" s="6">
        <v>47210</v>
      </c>
      <c r="C53" s="7" t="s">
        <v>34</v>
      </c>
      <c r="D53" s="7" t="s">
        <v>103</v>
      </c>
      <c r="E53" s="7" t="s">
        <v>171</v>
      </c>
      <c r="F53" s="4" t="str">
        <f t="shared" si="0"/>
        <v>Ковалева Полина Владиславовна</v>
      </c>
      <c r="G53" s="4" t="s">
        <v>243</v>
      </c>
      <c r="H53" s="4" t="e">
        <f>VLOOKUP(G53,'[1]Все программы'!$E:$G,3,0)</f>
        <v>#N/A</v>
      </c>
      <c r="I53" s="6" t="s">
        <v>172</v>
      </c>
      <c r="J53" s="6">
        <v>9165681936</v>
      </c>
      <c r="K53" s="6" t="s">
        <v>106</v>
      </c>
      <c r="L53" s="6" t="s">
        <v>5</v>
      </c>
      <c r="M53" s="6" t="s">
        <v>28</v>
      </c>
      <c r="N53" s="6" t="s">
        <v>173</v>
      </c>
      <c r="O53" s="6" t="s">
        <v>8</v>
      </c>
      <c r="P53" s="8">
        <v>46254.960682870369</v>
      </c>
      <c r="Q53" s="6" t="s">
        <v>9</v>
      </c>
    </row>
    <row r="54" spans="1:17" ht="72.75" thickBot="1" x14ac:dyDescent="0.3">
      <c r="A54" s="3"/>
      <c r="B54" s="3">
        <v>47219</v>
      </c>
      <c r="C54" s="4" t="s">
        <v>174</v>
      </c>
      <c r="D54" s="4" t="s">
        <v>175</v>
      </c>
      <c r="E54" s="4" t="s">
        <v>25</v>
      </c>
      <c r="F54" s="4" t="str">
        <f t="shared" si="0"/>
        <v>Маркелова Юлия Владимировна</v>
      </c>
      <c r="G54" s="4" t="s">
        <v>244</v>
      </c>
      <c r="H54" s="4" t="e">
        <f>VLOOKUP(G54,'[1]Все программы'!$E:$G,3,0)</f>
        <v>#N/A</v>
      </c>
      <c r="I54" s="3" t="s">
        <v>176</v>
      </c>
      <c r="J54" s="3">
        <v>9160203785</v>
      </c>
      <c r="K54" s="3" t="s">
        <v>106</v>
      </c>
      <c r="L54" s="3" t="s">
        <v>5</v>
      </c>
      <c r="M54" s="3" t="s">
        <v>28</v>
      </c>
      <c r="N54" s="3" t="s">
        <v>177</v>
      </c>
      <c r="O54" s="3" t="s">
        <v>8</v>
      </c>
      <c r="P54" s="5">
        <v>46255.432673611111</v>
      </c>
      <c r="Q54" s="3" t="s">
        <v>9</v>
      </c>
    </row>
    <row r="55" spans="1:17" ht="72.75" thickBot="1" x14ac:dyDescent="0.3">
      <c r="A55" s="6"/>
      <c r="B55" s="6">
        <v>47404</v>
      </c>
      <c r="C55" s="7" t="s">
        <v>34</v>
      </c>
      <c r="D55" s="7" t="s">
        <v>103</v>
      </c>
      <c r="E55" s="7" t="s">
        <v>171</v>
      </c>
      <c r="F55" s="4" t="str">
        <f t="shared" si="0"/>
        <v>Ковалева Полина Владиславовна</v>
      </c>
      <c r="G55" s="4" t="s">
        <v>243</v>
      </c>
      <c r="H55" s="4" t="e">
        <f>VLOOKUP(G55,'[1]Все программы'!$E:$G,3,0)</f>
        <v>#N/A</v>
      </c>
      <c r="I55" s="6" t="s">
        <v>172</v>
      </c>
      <c r="J55" s="6">
        <v>9165681936</v>
      </c>
      <c r="K55" s="6" t="s">
        <v>106</v>
      </c>
      <c r="L55" s="6" t="s">
        <v>5</v>
      </c>
      <c r="M55" s="6" t="s">
        <v>28</v>
      </c>
      <c r="N55" s="6" t="s">
        <v>178</v>
      </c>
      <c r="O55" s="6" t="s">
        <v>8</v>
      </c>
      <c r="P55" s="8">
        <v>46261.484282407408</v>
      </c>
      <c r="Q55" s="6" t="s">
        <v>9</v>
      </c>
    </row>
    <row r="56" spans="1:17" ht="72.75" thickBot="1" x14ac:dyDescent="0.3">
      <c r="A56" s="3"/>
      <c r="B56" s="3">
        <v>47535</v>
      </c>
      <c r="C56" s="4" t="s">
        <v>179</v>
      </c>
      <c r="D56" s="4" t="s">
        <v>180</v>
      </c>
      <c r="E56" s="4" t="s">
        <v>25</v>
      </c>
      <c r="F56" s="4" t="str">
        <f t="shared" si="0"/>
        <v>Кондратьева Эльмира Владимировна</v>
      </c>
      <c r="G56" s="4" t="s">
        <v>245</v>
      </c>
      <c r="H56" s="4" t="e">
        <f>VLOOKUP(G56,'[1]Все программы'!$E:$G,3,0)</f>
        <v>#N/A</v>
      </c>
      <c r="I56" s="3" t="s">
        <v>181</v>
      </c>
      <c r="J56" s="3">
        <v>9620900851</v>
      </c>
      <c r="K56" s="3" t="s">
        <v>106</v>
      </c>
      <c r="L56" s="3" t="s">
        <v>5</v>
      </c>
      <c r="M56" s="3" t="s">
        <v>28</v>
      </c>
      <c r="N56" s="3"/>
      <c r="O56" s="3" t="s">
        <v>8</v>
      </c>
      <c r="P56" s="5">
        <v>46265.403113425928</v>
      </c>
      <c r="Q56" s="3" t="s">
        <v>9</v>
      </c>
    </row>
    <row r="57" spans="1:17" ht="72.75" thickBot="1" x14ac:dyDescent="0.3">
      <c r="A57" s="6"/>
      <c r="B57" s="6">
        <v>47539</v>
      </c>
      <c r="C57" s="7" t="s">
        <v>182</v>
      </c>
      <c r="D57" s="7" t="s">
        <v>53</v>
      </c>
      <c r="E57" s="7" t="s">
        <v>88</v>
      </c>
      <c r="F57" s="4" t="str">
        <f t="shared" si="0"/>
        <v>Емельянова Елизавета Алексеевна</v>
      </c>
      <c r="G57" s="4" t="s">
        <v>246</v>
      </c>
      <c r="H57" s="4" t="e">
        <f>VLOOKUP(G57,'[1]Все программы'!$E:$G,3,0)</f>
        <v>#N/A</v>
      </c>
      <c r="I57" s="6" t="s">
        <v>183</v>
      </c>
      <c r="J57" s="6">
        <v>9919580468</v>
      </c>
      <c r="K57" s="6" t="s">
        <v>106</v>
      </c>
      <c r="L57" s="6" t="s">
        <v>5</v>
      </c>
      <c r="M57" s="6" t="s">
        <v>28</v>
      </c>
      <c r="N57" s="6" t="s">
        <v>184</v>
      </c>
      <c r="O57" s="6" t="s">
        <v>8</v>
      </c>
      <c r="P57" s="8">
        <v>46265.445347222223</v>
      </c>
      <c r="Q57" s="6" t="s">
        <v>9</v>
      </c>
    </row>
    <row r="58" spans="1:17" ht="72.75" thickBot="1" x14ac:dyDescent="0.3">
      <c r="A58" s="3"/>
      <c r="B58" s="3">
        <v>47555</v>
      </c>
      <c r="C58" s="4" t="s">
        <v>182</v>
      </c>
      <c r="D58" s="4" t="s">
        <v>53</v>
      </c>
      <c r="E58" s="4" t="s">
        <v>88</v>
      </c>
      <c r="F58" s="4" t="str">
        <f t="shared" si="0"/>
        <v>Емельянова Елизавета Алексеевна</v>
      </c>
      <c r="G58" s="4" t="s">
        <v>246</v>
      </c>
      <c r="H58" s="4" t="e">
        <f>VLOOKUP(G58,'[1]Все программы'!$E:$G,3,0)</f>
        <v>#N/A</v>
      </c>
      <c r="I58" s="3" t="s">
        <v>183</v>
      </c>
      <c r="J58" s="3">
        <v>9919580468</v>
      </c>
      <c r="K58" s="3" t="s">
        <v>106</v>
      </c>
      <c r="L58" s="3" t="s">
        <v>5</v>
      </c>
      <c r="M58" s="3" t="s">
        <v>28</v>
      </c>
      <c r="N58" s="3" t="s">
        <v>177</v>
      </c>
      <c r="O58" s="3" t="s">
        <v>8</v>
      </c>
      <c r="P58" s="5">
        <v>46265.619432870371</v>
      </c>
      <c r="Q58" s="3" t="s">
        <v>9</v>
      </c>
    </row>
    <row r="59" spans="1:17" ht="72.75" hidden="1" thickBot="1" x14ac:dyDescent="0.3">
      <c r="A59" s="6"/>
      <c r="B59" s="6">
        <v>45877</v>
      </c>
      <c r="C59" s="7" t="s">
        <v>185</v>
      </c>
      <c r="D59" s="7" t="s">
        <v>186</v>
      </c>
      <c r="E59" s="7" t="s">
        <v>187</v>
      </c>
      <c r="F59" s="4" t="str">
        <f t="shared" si="0"/>
        <v>Кривопалов Владислав Сергеевич</v>
      </c>
      <c r="G59" s="4" t="s">
        <v>247</v>
      </c>
      <c r="H59" s="4" t="e">
        <f>VLOOKUP(G59,'[1]Все программы'!$E:$G,3,0)</f>
        <v>#N/A</v>
      </c>
      <c r="I59" s="6" t="s">
        <v>188</v>
      </c>
      <c r="J59" s="6">
        <v>9772867873</v>
      </c>
      <c r="K59" s="6" t="s">
        <v>189</v>
      </c>
      <c r="L59" s="6" t="s">
        <v>5</v>
      </c>
      <c r="M59" s="6" t="s">
        <v>28</v>
      </c>
      <c r="N59" s="6"/>
      <c r="O59" s="6" t="s">
        <v>8</v>
      </c>
      <c r="P59" s="8">
        <v>46189.69021990741</v>
      </c>
      <c r="Q59" s="6" t="s">
        <v>9</v>
      </c>
    </row>
    <row r="60" spans="1:17" ht="72.75" hidden="1" thickBot="1" x14ac:dyDescent="0.3">
      <c r="A60" s="3"/>
      <c r="B60" s="3">
        <v>46880</v>
      </c>
      <c r="C60" s="4" t="s">
        <v>190</v>
      </c>
      <c r="D60" s="4" t="s">
        <v>191</v>
      </c>
      <c r="E60" s="4" t="s">
        <v>192</v>
      </c>
      <c r="F60" s="4" t="str">
        <f t="shared" si="0"/>
        <v>Овсеевич Кристина Георгиевна</v>
      </c>
      <c r="G60" s="4" t="s">
        <v>248</v>
      </c>
      <c r="H60" s="4" t="e">
        <f>VLOOKUP(G60,'[1]Все программы'!$E:$G,3,0)</f>
        <v>#N/A</v>
      </c>
      <c r="I60" s="3" t="s">
        <v>193</v>
      </c>
      <c r="J60" s="3">
        <v>9778287793</v>
      </c>
      <c r="K60" s="3" t="s">
        <v>189</v>
      </c>
      <c r="L60" s="3" t="s">
        <v>5</v>
      </c>
      <c r="M60" s="3" t="s">
        <v>28</v>
      </c>
      <c r="N60" s="3"/>
      <c r="O60" s="3" t="s">
        <v>8</v>
      </c>
      <c r="P60" s="5">
        <v>46244.566643518519</v>
      </c>
      <c r="Q60" s="3" t="s">
        <v>9</v>
      </c>
    </row>
    <row r="61" spans="1:17" ht="72.75" hidden="1" thickBot="1" x14ac:dyDescent="0.3">
      <c r="A61" s="6"/>
      <c r="B61" s="6">
        <v>45669</v>
      </c>
      <c r="C61" s="7" t="s">
        <v>194</v>
      </c>
      <c r="D61" s="7" t="s">
        <v>195</v>
      </c>
      <c r="E61" s="7"/>
      <c r="F61" s="4" t="str">
        <f t="shared" si="0"/>
        <v xml:space="preserve">Долженок Ольга дмитриевна </v>
      </c>
      <c r="G61" s="4" t="s">
        <v>249</v>
      </c>
      <c r="H61" s="4" t="e">
        <f>VLOOKUP(G61,'[1]Все программы'!$E:$G,3,0)</f>
        <v>#N/A</v>
      </c>
      <c r="I61" s="6" t="s">
        <v>196</v>
      </c>
      <c r="J61" s="6">
        <v>9017273191</v>
      </c>
      <c r="K61" s="6" t="s">
        <v>197</v>
      </c>
      <c r="L61" s="6" t="s">
        <v>5</v>
      </c>
      <c r="M61" s="6" t="s">
        <v>198</v>
      </c>
      <c r="N61" s="6"/>
      <c r="O61" s="6" t="s">
        <v>8</v>
      </c>
      <c r="P61" s="8">
        <v>46177.101643518516</v>
      </c>
      <c r="Q61" s="6" t="s">
        <v>9</v>
      </c>
    </row>
    <row r="62" spans="1:17" ht="72.75" hidden="1" thickBot="1" x14ac:dyDescent="0.3">
      <c r="A62" s="3"/>
      <c r="B62" s="3">
        <v>45994</v>
      </c>
      <c r="C62" s="4" t="s">
        <v>199</v>
      </c>
      <c r="D62" s="4" t="s">
        <v>200</v>
      </c>
      <c r="E62" s="4"/>
      <c r="F62" s="4" t="str">
        <f t="shared" si="0"/>
        <v xml:space="preserve">Уразова Алла </v>
      </c>
      <c r="G62" s="4" t="s">
        <v>250</v>
      </c>
      <c r="H62" s="4" t="e">
        <f>VLOOKUP(G62,'[1]Все программы'!$E:$G,3,0)</f>
        <v>#N/A</v>
      </c>
      <c r="I62" s="3" t="s">
        <v>201</v>
      </c>
      <c r="J62" s="3">
        <v>9686807132</v>
      </c>
      <c r="K62" s="3" t="s">
        <v>202</v>
      </c>
      <c r="L62" s="3" t="s">
        <v>5</v>
      </c>
      <c r="M62" s="3" t="s">
        <v>198</v>
      </c>
      <c r="N62" s="3"/>
      <c r="O62" s="3" t="s">
        <v>8</v>
      </c>
      <c r="P62" s="5">
        <v>46196.962395833332</v>
      </c>
      <c r="Q62" s="3" t="s">
        <v>9</v>
      </c>
    </row>
  </sheetData>
  <autoFilter ref="A1:Q62" xr:uid="{C0942C7D-9DE4-4C36-8782-C5343206C06C}">
    <filterColumn colId="7">
      <filters>
        <filter val="#Н/Д"/>
      </filters>
    </filterColumn>
  </autoFilter>
  <hyperlinks>
    <hyperlink ref="C2" r:id="rId1" display="http://mpgu.su/op/control/client.php?id=47478" xr:uid="{2FDBD8BB-7259-4E14-935B-EC246905D0E4}"/>
    <hyperlink ref="D2" r:id="rId2" display="http://mpgu.su/op/control/client.php?id=47478" xr:uid="{17A73B56-BBB5-4B53-A03B-64F5D5CEE787}"/>
    <hyperlink ref="E2" r:id="rId3" display="http://mpgu.su/op/control/client.php?id=47478" xr:uid="{DA41A274-ADA7-4B66-A18E-5DD940608E7C}"/>
    <hyperlink ref="C3" r:id="rId4" display="http://mpgu.su/op/control/client.php?id=46035" xr:uid="{7362F627-7B6F-4D75-8922-CB2303F0D8C4}"/>
    <hyperlink ref="D3" r:id="rId5" display="http://mpgu.su/op/control/client.php?id=46035" xr:uid="{2F0144D4-5D97-4527-A0EC-F867FCA5FA65}"/>
    <hyperlink ref="E3" r:id="rId6" display="http://mpgu.su/op/control/client.php?id=46035" xr:uid="{06625E9C-9666-4865-BF20-774B74408176}"/>
    <hyperlink ref="C4" r:id="rId7" display="http://mpgu.su/op/control/client.php?id=46037" xr:uid="{9AD8D450-BDAD-4E76-B9B9-51DC2F32D0FD}"/>
    <hyperlink ref="D4" r:id="rId8" display="http://mpgu.su/op/control/client.php?id=46037" xr:uid="{ECD2C873-A6CA-436C-ADAC-AC06CAB28ED6}"/>
    <hyperlink ref="E4" r:id="rId9" display="http://mpgu.su/op/control/client.php?id=46037" xr:uid="{24BBEBD4-2DC2-41C8-B5B4-46201D829C08}"/>
    <hyperlink ref="C5" r:id="rId10" display="http://mpgu.su/op/control/client.php?id=46044" xr:uid="{C8CE125B-DEA4-45D5-8A5E-CD939E6EF168}"/>
    <hyperlink ref="D5" r:id="rId11" display="http://mpgu.su/op/control/client.php?id=46044" xr:uid="{A473C4A8-BF40-4A09-9D9F-95D90040F361}"/>
    <hyperlink ref="E5" r:id="rId12" display="http://mpgu.su/op/control/client.php?id=46044" xr:uid="{C4EB2C0F-E479-48B7-A4BA-74E721A47F0B}"/>
    <hyperlink ref="C6" r:id="rId13" display="http://mpgu.su/op/control/client.php?id=45984" xr:uid="{AE0295C1-F8BA-464F-A2E1-0C00FA4FBF39}"/>
    <hyperlink ref="D6" r:id="rId14" display="http://mpgu.su/op/control/client.php?id=45984" xr:uid="{89991796-1981-4004-B7D8-8144D9149783}"/>
    <hyperlink ref="E6" r:id="rId15" display="http://mpgu.su/op/control/client.php?id=45984" xr:uid="{4B46B573-0404-4AC2-B963-0EFCE3DF9BE5}"/>
    <hyperlink ref="C7" r:id="rId16" display="http://mpgu.su/op/control/client.php?id=46146" xr:uid="{8F33FECA-3E3A-4A62-B52D-5E2D8112E4F6}"/>
    <hyperlink ref="D7" r:id="rId17" display="http://mpgu.su/op/control/client.php?id=46146" xr:uid="{62E4BF2C-08FB-498B-A82C-E679D1C01BAC}"/>
    <hyperlink ref="E7" r:id="rId18" display="http://mpgu.su/op/control/client.php?id=46146" xr:uid="{F1E992D3-7C3B-40D9-81F0-A7803F8BADEE}"/>
    <hyperlink ref="C8" r:id="rId19" display="http://mpgu.su/op/control/client.php?id=46168" xr:uid="{31645428-7D96-45C7-92FE-68DCB34F3A1D}"/>
    <hyperlink ref="D8" r:id="rId20" display="http://mpgu.su/op/control/client.php?id=46168" xr:uid="{1D9EDDBD-4806-47AD-84B4-AD6D9915B652}"/>
    <hyperlink ref="E8" r:id="rId21" display="http://mpgu.su/op/control/client.php?id=46168" xr:uid="{03F42FEB-8921-4DE8-BB4F-F8ADB2139357}"/>
    <hyperlink ref="C9" r:id="rId22" display="http://mpgu.su/op/control/client.php?id=46182" xr:uid="{5AFDCF2A-9F1D-4E3D-AD81-DAD6F94E2A26}"/>
    <hyperlink ref="D9" r:id="rId23" display="http://mpgu.su/op/control/client.php?id=46182" xr:uid="{630230D6-58AC-4B02-A43B-3EB0DE355787}"/>
    <hyperlink ref="E9" r:id="rId24" display="http://mpgu.su/op/control/client.php?id=46182" xr:uid="{1538ACB9-3A65-4155-9CD1-17A004B29CED}"/>
    <hyperlink ref="C10" r:id="rId25" display="http://mpgu.su/op/control/client.php?id=46294" xr:uid="{189E8F24-10B5-47BE-89FA-86CF8CAD32C4}"/>
    <hyperlink ref="D10" r:id="rId26" display="http://mpgu.su/op/control/client.php?id=46294" xr:uid="{1E44F98A-C3C6-4150-A03A-030403AC11B7}"/>
    <hyperlink ref="E10" r:id="rId27" display="http://mpgu.su/op/control/client.php?id=46294" xr:uid="{740137D6-2C32-42AD-8533-D63344EDF128}"/>
    <hyperlink ref="C11" r:id="rId28" display="http://mpgu.su/op/control/client.php?id=46682" xr:uid="{6727DCE2-D05F-40E0-8624-C54627E38A45}"/>
    <hyperlink ref="D11" r:id="rId29" display="http://mpgu.su/op/control/client.php?id=46682" xr:uid="{C7000F59-9D27-41EE-AF36-50C9693DF670}"/>
    <hyperlink ref="E11" r:id="rId30" display="http://mpgu.su/op/control/client.php?id=46682" xr:uid="{CD21D718-7FA6-40EC-9ABF-15D67F74C8D1}"/>
    <hyperlink ref="C12" r:id="rId31" display="http://mpgu.su/op/control/client.php?id=46688" xr:uid="{797992CE-CCC8-4D1B-BB21-B5568A2A3356}"/>
    <hyperlink ref="D12" r:id="rId32" display="http://mpgu.su/op/control/client.php?id=46688" xr:uid="{5F283316-08FC-45C5-BC83-85E3E81E022B}"/>
    <hyperlink ref="E12" r:id="rId33" display="http://mpgu.su/op/control/client.php?id=46688" xr:uid="{B688E4CE-250A-47C3-968A-2024286A5864}"/>
    <hyperlink ref="C13" r:id="rId34" display="http://mpgu.su/op/control/client.php?id=46700" xr:uid="{110F9C81-0432-44C6-BEF9-CDD11788341C}"/>
    <hyperlink ref="D13" r:id="rId35" display="http://mpgu.su/op/control/client.php?id=46700" xr:uid="{94002650-B338-4D76-B60A-A5151CF5CEFC}"/>
    <hyperlink ref="E13" r:id="rId36" display="http://mpgu.su/op/control/client.php?id=46700" xr:uid="{E0D9DF5F-321C-4B54-9F67-88AF90C86D9B}"/>
    <hyperlink ref="C14" r:id="rId37" display="http://mpgu.su/op/control/client.php?id=46734" xr:uid="{C42B5784-CCA9-45D7-82CB-178240C0AAE5}"/>
    <hyperlink ref="D14" r:id="rId38" display="http://mpgu.su/op/control/client.php?id=46734" xr:uid="{4A36D41A-53C5-453B-A2FB-D760C49C1EDF}"/>
    <hyperlink ref="E14" r:id="rId39" display="http://mpgu.su/op/control/client.php?id=46734" xr:uid="{CF0F3843-95A4-4F23-9B46-401553EC74DB}"/>
    <hyperlink ref="C15" r:id="rId40" display="http://mpgu.su/op/control/client.php?id=46735" xr:uid="{FC0E9894-535B-409F-9DC4-3EC82928399E}"/>
    <hyperlink ref="D15" r:id="rId41" display="http://mpgu.su/op/control/client.php?id=46735" xr:uid="{F0656C04-F892-4B34-87F6-CB5CCDC56618}"/>
    <hyperlink ref="E15" r:id="rId42" display="http://mpgu.su/op/control/client.php?id=46735" xr:uid="{78493B04-EA92-40A4-94B3-C3D5991ED962}"/>
    <hyperlink ref="C16" r:id="rId43" display="http://mpgu.su/op/control/client.php?id=46905" xr:uid="{97334A33-5473-40D5-8E85-8BD7D9382660}"/>
    <hyperlink ref="D16" r:id="rId44" display="http://mpgu.su/op/control/client.php?id=46905" xr:uid="{A8D15ACD-CD31-4522-8F5C-6F2D08DF0E07}"/>
    <hyperlink ref="E16" r:id="rId45" display="http://mpgu.su/op/control/client.php?id=46905" xr:uid="{B912CCB2-C6BC-453C-9B00-DB40767650DF}"/>
    <hyperlink ref="C17" r:id="rId46" display="http://mpgu.su/op/control/client.php?id=47004" xr:uid="{56CEA4AB-6D6B-44D8-82CC-27E612B82A07}"/>
    <hyperlink ref="D17" r:id="rId47" display="http://mpgu.su/op/control/client.php?id=47004" xr:uid="{0B71FFA7-8E9E-42F6-8AFA-F37FE4157069}"/>
    <hyperlink ref="E17" r:id="rId48" display="http://mpgu.su/op/control/client.php?id=47004" xr:uid="{F1982FB3-E6F3-41DC-B4F6-650A299D19BB}"/>
    <hyperlink ref="C18" r:id="rId49" display="http://mpgu.su/op/control/client.php?id=47135" xr:uid="{B09B37C0-D29C-42E9-91DB-4FC896DB5FBB}"/>
    <hyperlink ref="D18" r:id="rId50" display="http://mpgu.su/op/control/client.php?id=47135" xr:uid="{273E3A0A-862F-4914-AECF-995907A4680B}"/>
    <hyperlink ref="E18" r:id="rId51" display="http://mpgu.su/op/control/client.php?id=47135" xr:uid="{4B059C60-7307-4301-83E5-527A4717C8FC}"/>
    <hyperlink ref="C19" r:id="rId52" display="http://mpgu.su/op/control/client.php?id=47152" xr:uid="{5DF70732-FAB0-41C7-839A-94CCACF2F7E6}"/>
    <hyperlink ref="D19" r:id="rId53" display="http://mpgu.su/op/control/client.php?id=47152" xr:uid="{F1D3EB4A-DD46-49E0-91FD-CD7D701E5AD7}"/>
    <hyperlink ref="E19" r:id="rId54" display="http://mpgu.su/op/control/client.php?id=47152" xr:uid="{9CEECA3F-7E1D-4820-AC71-9AE1B1B31641}"/>
    <hyperlink ref="C20" r:id="rId55" display="http://mpgu.su/op/control/client.php?id=47168" xr:uid="{6B9FBE6C-8963-4BD9-A381-3BDBB8C1499F}"/>
    <hyperlink ref="D20" r:id="rId56" display="http://mpgu.su/op/control/client.php?id=47168" xr:uid="{FE56566D-48C6-45E3-A315-0CB5B631DC8C}"/>
    <hyperlink ref="E20" r:id="rId57" display="http://mpgu.su/op/control/client.php?id=47168" xr:uid="{3501FB5A-91C8-425A-BC5A-A5283050DA18}"/>
    <hyperlink ref="C21" r:id="rId58" display="http://mpgu.su/op/control/client.php?id=47266" xr:uid="{0CD71D9B-0220-45B4-96F6-82B71BBB4617}"/>
    <hyperlink ref="D21" r:id="rId59" display="http://mpgu.su/op/control/client.php?id=47266" xr:uid="{82735374-BC53-44B7-993B-F456FCA58D8F}"/>
    <hyperlink ref="E21" r:id="rId60" display="http://mpgu.su/op/control/client.php?id=47266" xr:uid="{59F7D6BE-B1E7-47A8-92AD-A2B65624918F}"/>
    <hyperlink ref="C22" r:id="rId61" display="http://mpgu.su/op/control/client.php?id=47342" xr:uid="{21963BD0-E7C8-4E67-8B39-79EACFEE91CE}"/>
    <hyperlink ref="D22" r:id="rId62" display="http://mpgu.su/op/control/client.php?id=47342" xr:uid="{77A052E9-5442-458A-92A6-46BA691D3914}"/>
    <hyperlink ref="E22" r:id="rId63" display="http://mpgu.su/op/control/client.php?id=47342" xr:uid="{8964DB68-A745-48BD-8645-F1EEBD70E309}"/>
    <hyperlink ref="C23" r:id="rId64" display="http://mpgu.su/op/control/client.php?id=47577" xr:uid="{08F2ADD8-B19F-4B05-981D-55E052E25AC8}"/>
    <hyperlink ref="D23" r:id="rId65" display="http://mpgu.su/op/control/client.php?id=47577" xr:uid="{B003E8AC-1196-40E3-AC7B-6C2CEA3946E3}"/>
    <hyperlink ref="E23" r:id="rId66" display="http://mpgu.su/op/control/client.php?id=47577" xr:uid="{882AEA6A-D520-409F-A204-D0129F85240A}"/>
    <hyperlink ref="C24" r:id="rId67" display="http://mpgu.su/op/control/client.php?id=47624" xr:uid="{D877B7BD-EA50-4919-A6B4-904226DDA8B9}"/>
    <hyperlink ref="D24" r:id="rId68" display="http://mpgu.su/op/control/client.php?id=47624" xr:uid="{FE0B39B7-C392-4A05-9C38-0DD6717EA25B}"/>
    <hyperlink ref="E24" r:id="rId69" display="http://mpgu.su/op/control/client.php?id=47624" xr:uid="{CA537140-CB43-49C3-90A0-434BCB8D6FA9}"/>
    <hyperlink ref="C25" r:id="rId70" display="http://mpgu.su/op/control/client.php?id=45830" xr:uid="{34264A98-3864-4BB6-8ACA-F216B4D02EC4}"/>
    <hyperlink ref="D25" r:id="rId71" display="http://mpgu.su/op/control/client.php?id=45830" xr:uid="{ED84D650-C3BA-4E00-8945-DA42180EABB2}"/>
    <hyperlink ref="E25" r:id="rId72" display="http://mpgu.su/op/control/client.php?id=45830" xr:uid="{C09E57B9-14CC-4C5F-83CF-48837889977D}"/>
    <hyperlink ref="C26" r:id="rId73" display="http://mpgu.su/op/control/client.php?id=45978" xr:uid="{630A7D56-C56B-42AA-8B7C-BE6E50635660}"/>
    <hyperlink ref="D26" r:id="rId74" display="http://mpgu.su/op/control/client.php?id=45978" xr:uid="{971D9BCC-E75E-4347-B1F8-593CB1F21111}"/>
    <hyperlink ref="E26" r:id="rId75" display="http://mpgu.su/op/control/client.php?id=45978" xr:uid="{1C67A969-B7F8-441F-B536-B17285BE66DF}"/>
    <hyperlink ref="C27" r:id="rId76" display="http://mpgu.su/op/control/client.php?id=47198" xr:uid="{548D36F1-EEDB-4324-BA04-525764DB30D8}"/>
    <hyperlink ref="D27" r:id="rId77" display="http://mpgu.su/op/control/client.php?id=47198" xr:uid="{28AAA2A0-9834-4E4C-9624-BAC7420A9EAA}"/>
    <hyperlink ref="E27" r:id="rId78" display="http://mpgu.su/op/control/client.php?id=47198" xr:uid="{7BC51530-7113-40F7-93E9-8EEDB4055E17}"/>
    <hyperlink ref="C28" r:id="rId79" display="http://mpgu.su/op/control/client.php?id=47200" xr:uid="{381D3B80-F8EA-4E4B-9B22-7D1B552197C6}"/>
    <hyperlink ref="D28" r:id="rId80" display="http://mpgu.su/op/control/client.php?id=47200" xr:uid="{8C3F87F2-6F63-4E17-95D5-C6F949E920BA}"/>
    <hyperlink ref="E28" r:id="rId81" display="http://mpgu.su/op/control/client.php?id=47200" xr:uid="{8A4B343F-454E-45F4-9576-8E7C2A7F604D}"/>
    <hyperlink ref="C29" r:id="rId82" display="http://mpgu.su/op/control/client.php?id=47336" xr:uid="{10A4E565-069D-49FF-B4BB-54C4DC1947BF}"/>
    <hyperlink ref="D29" r:id="rId83" display="http://mpgu.su/op/control/client.php?id=47336" xr:uid="{49964C72-92FD-40C7-8F94-45D71A02321A}"/>
    <hyperlink ref="E29" r:id="rId84" display="http://mpgu.su/op/control/client.php?id=47336" xr:uid="{33E35940-A69C-4DCC-9E3A-F7293AF4FC99}"/>
    <hyperlink ref="C30" r:id="rId85" display="http://mpgu.su/op/control/client.php?id=47337" xr:uid="{4542D209-E1C2-4FDB-918B-1E53042EBF77}"/>
    <hyperlink ref="D30" r:id="rId86" display="http://mpgu.su/op/control/client.php?id=47337" xr:uid="{42E560EA-F944-4161-9EAE-1A5392CAE073}"/>
    <hyperlink ref="E30" r:id="rId87" display="http://mpgu.su/op/control/client.php?id=47337" xr:uid="{25232B59-669F-4DBF-B629-EFA311299C17}"/>
    <hyperlink ref="C31" r:id="rId88" display="http://mpgu.su/op/control/client.php?id=47382" xr:uid="{9F4FC002-7B91-4037-B0CD-09CA8B7527CC}"/>
    <hyperlink ref="D31" r:id="rId89" display="http://mpgu.su/op/control/client.php?id=47382" xr:uid="{7BC00CDB-C972-4AD4-9222-AAD41C1D2B5D}"/>
    <hyperlink ref="E31" r:id="rId90" display="http://mpgu.su/op/control/client.php?id=47382" xr:uid="{EB404790-5A06-4D7E-8F68-6ED48359DD50}"/>
    <hyperlink ref="C32" r:id="rId91" display="http://mpgu.su/op/control/client.php?id=47564" xr:uid="{D7772C46-9B8B-4928-AD78-C0D1694F2A4D}"/>
    <hyperlink ref="D32" r:id="rId92" display="http://mpgu.su/op/control/client.php?id=47564" xr:uid="{51DA07C1-1BAB-44F4-AB96-6012EA9294B5}"/>
    <hyperlink ref="E32" r:id="rId93" display="http://mpgu.su/op/control/client.php?id=47564" xr:uid="{63A526CA-2218-4B95-9B29-D1698BB0344A}"/>
    <hyperlink ref="C33" r:id="rId94" display="http://mpgu.su/op/control/client.php?id=45724" xr:uid="{4FB8E2F1-C3E2-4CB2-A3B3-D33749807B94}"/>
    <hyperlink ref="D33" r:id="rId95" display="http://mpgu.su/op/control/client.php?id=45724" xr:uid="{29E4281B-1200-40F4-A5C9-C3CF276E4DC7}"/>
    <hyperlink ref="E33" r:id="rId96" display="http://mpgu.su/op/control/client.php?id=45724" xr:uid="{55E6A5B2-F772-40C0-9ED9-4FD56850D4EA}"/>
    <hyperlink ref="C34" r:id="rId97" display="http://mpgu.su/op/control/client.php?id=45772" xr:uid="{00AF14DC-0DC2-4C11-9055-DD62DF8A82DD}"/>
    <hyperlink ref="D34" r:id="rId98" display="http://mpgu.su/op/control/client.php?id=45772" xr:uid="{44EA2F66-1533-43BB-BBA9-F3DC286D3B52}"/>
    <hyperlink ref="E34" r:id="rId99" display="http://mpgu.su/op/control/client.php?id=45772" xr:uid="{2B30A9B9-1712-409E-A969-90CD19F4C4FC}"/>
    <hyperlink ref="C35" r:id="rId100" display="http://mpgu.su/op/control/client.php?id=45796" xr:uid="{48CAF0C6-2472-4C89-98B4-4DF2750205E9}"/>
    <hyperlink ref="D35" r:id="rId101" display="http://mpgu.su/op/control/client.php?id=45796" xr:uid="{A64C980D-6639-4A7F-99D3-A87F1F781F3C}"/>
    <hyperlink ref="E35" r:id="rId102" display="http://mpgu.su/op/control/client.php?id=45796" xr:uid="{0DB40297-CC8A-4DC1-BD53-A2242DD94CFC}"/>
    <hyperlink ref="C36" r:id="rId103" display="http://mpgu.su/op/control/client.php?id=45809" xr:uid="{4ED21D65-BAFE-43D1-BEA7-015B63ACE562}"/>
    <hyperlink ref="D36" r:id="rId104" display="http://mpgu.su/op/control/client.php?id=45809" xr:uid="{FD58F6E3-832E-46D9-B914-AD1860ECA46D}"/>
    <hyperlink ref="E36" r:id="rId105" display="http://mpgu.su/op/control/client.php?id=45809" xr:uid="{4926ED79-C872-47C7-ABD5-B7B48F02D3DA}"/>
    <hyperlink ref="C37" r:id="rId106" display="http://mpgu.su/op/control/client.php?id=45901" xr:uid="{ADF5C04F-E484-435A-A4FA-AF36A6480AA3}"/>
    <hyperlink ref="D37" r:id="rId107" display="http://mpgu.su/op/control/client.php?id=45901" xr:uid="{F2374931-12B8-4F68-967A-DD8EC394441A}"/>
    <hyperlink ref="E37" r:id="rId108" display="http://mpgu.su/op/control/client.php?id=45901" xr:uid="{B4DC4AF7-C727-4CC7-8AE6-04E1D6990F05}"/>
    <hyperlink ref="C38" r:id="rId109" display="http://mpgu.su/op/control/client.php?id=45916" xr:uid="{8D761E84-3954-434C-8D2A-0D242F188830}"/>
    <hyperlink ref="D38" r:id="rId110" display="http://mpgu.su/op/control/client.php?id=45916" xr:uid="{B459AF96-289C-4425-832F-18926F0A4071}"/>
    <hyperlink ref="E38" r:id="rId111" display="http://mpgu.su/op/control/client.php?id=45916" xr:uid="{BE68901D-B490-42B2-97D7-5A3D4CA75C9E}"/>
    <hyperlink ref="C39" r:id="rId112" display="http://mpgu.su/op/control/client.php?id=46187" xr:uid="{E3387AAA-B7BB-41B0-86D0-DC05E32763E9}"/>
    <hyperlink ref="D39" r:id="rId113" display="http://mpgu.su/op/control/client.php?id=46187" xr:uid="{098CF5FF-472E-440A-80F8-54B673F696BF}"/>
    <hyperlink ref="E39" r:id="rId114" display="http://mpgu.su/op/control/client.php?id=46187" xr:uid="{B8A38EFD-33C3-46A4-A4DB-712F3A53376D}"/>
    <hyperlink ref="C40" r:id="rId115" display="http://mpgu.su/op/control/client.php?id=46196" xr:uid="{6F1E7B1E-1748-42B0-BEBF-A4749D742302}"/>
    <hyperlink ref="D40" r:id="rId116" display="http://mpgu.su/op/control/client.php?id=46196" xr:uid="{EC06E024-5558-4290-B0FA-2D2A179E3578}"/>
    <hyperlink ref="E40" r:id="rId117" display="http://mpgu.su/op/control/client.php?id=46196" xr:uid="{B6A5A6FB-2B50-4C14-AE39-F4ABD39A8501}"/>
    <hyperlink ref="C41" r:id="rId118" display="http://mpgu.su/op/control/client.php?id=46207" xr:uid="{8C2CB0F2-0912-4498-B563-1FB5E6AD2C37}"/>
    <hyperlink ref="D41" r:id="rId119" display="http://mpgu.su/op/control/client.php?id=46207" xr:uid="{94B205FE-D990-4A07-9BB4-F7D61175FAD3}"/>
    <hyperlink ref="E41" r:id="rId120" display="http://mpgu.su/op/control/client.php?id=46207" xr:uid="{7BA035A0-E52A-4AFF-9314-76F1A8D6E5A7}"/>
    <hyperlink ref="C42" r:id="rId121" display="http://mpgu.su/op/control/client.php?id=46464" xr:uid="{9EED7C37-B832-40D6-ADD4-219DF06A830B}"/>
    <hyperlink ref="D42" r:id="rId122" display="http://mpgu.su/op/control/client.php?id=46464" xr:uid="{39003AFB-1BBB-4FCB-AAD4-D235BF79C04B}"/>
    <hyperlink ref="E42" r:id="rId123" display="http://mpgu.su/op/control/client.php?id=46464" xr:uid="{43B88D35-41D1-4080-B4BF-ACF727770D82}"/>
    <hyperlink ref="C43" r:id="rId124" display="http://mpgu.su/op/control/client.php?id=46477" xr:uid="{FC827593-F9F4-48DA-BB9A-7618F95E8474}"/>
    <hyperlink ref="D43" r:id="rId125" display="http://mpgu.su/op/control/client.php?id=46477" xr:uid="{F3B4FCAE-4F03-434A-8D5F-BD65183087EF}"/>
    <hyperlink ref="E43" r:id="rId126" display="http://mpgu.su/op/control/client.php?id=46477" xr:uid="{02D0585C-17BE-4D51-AEF9-6D7222BDDD5C}"/>
    <hyperlink ref="C44" r:id="rId127" display="http://mpgu.su/op/control/client.php?id=46515" xr:uid="{FF8B1D62-2107-4A5E-80DB-60B31EF98A62}"/>
    <hyperlink ref="D44" r:id="rId128" display="http://mpgu.su/op/control/client.php?id=46515" xr:uid="{69961959-096A-45AA-A2A9-47A4C670C16E}"/>
    <hyperlink ref="E44" r:id="rId129" display="http://mpgu.su/op/control/client.php?id=46515" xr:uid="{0B5AABDF-BA0C-468D-956B-F8E7CC1D5699}"/>
    <hyperlink ref="C45" r:id="rId130" display="http://mpgu.su/op/control/client.php?id=46581" xr:uid="{AA77812C-6F96-435A-97C9-0DC008A823CC}"/>
    <hyperlink ref="D45" r:id="rId131" display="http://mpgu.su/op/control/client.php?id=46581" xr:uid="{657A0688-D18F-400D-96E3-314CD16E7E09}"/>
    <hyperlink ref="E45" r:id="rId132" display="http://mpgu.su/op/control/client.php?id=46581" xr:uid="{207B68AA-7E93-47D6-B80B-8EFE21491565}"/>
    <hyperlink ref="C46" r:id="rId133" display="http://mpgu.su/op/control/client.php?id=46676" xr:uid="{E5DB60CA-9AE7-4880-ACB4-38CA79DE2C48}"/>
    <hyperlink ref="D46" r:id="rId134" display="http://mpgu.su/op/control/client.php?id=46676" xr:uid="{A8896C01-C7B5-457E-A961-6AA982911FAF}"/>
    <hyperlink ref="E46" r:id="rId135" display="http://mpgu.su/op/control/client.php?id=46676" xr:uid="{508711DF-D7F4-42B8-8F56-04737581D92E}"/>
    <hyperlink ref="C47" r:id="rId136" display="http://mpgu.su/op/control/client.php?id=46687" xr:uid="{5A5E4C4A-2963-41C6-A26E-52460C2F86BA}"/>
    <hyperlink ref="D47" r:id="rId137" display="http://mpgu.su/op/control/client.php?id=46687" xr:uid="{DF5936F2-4100-4A56-BABE-5E00192DD57A}"/>
    <hyperlink ref="E47" r:id="rId138" display="http://mpgu.su/op/control/client.php?id=46687" xr:uid="{1FA2EEB4-3393-4A41-BBBA-740C4456DBA9}"/>
    <hyperlink ref="C48" r:id="rId139" display="http://mpgu.su/op/control/client.php?id=46728" xr:uid="{E2171199-0F69-4A02-84CF-EE12BEB2B310}"/>
    <hyperlink ref="D48" r:id="rId140" display="http://mpgu.su/op/control/client.php?id=46728" xr:uid="{D94E25BD-CBCC-4D52-8545-F3C4B0E35CE1}"/>
    <hyperlink ref="E48" r:id="rId141" display="http://mpgu.su/op/control/client.php?id=46728" xr:uid="{B09CE10A-A38C-4E2E-BD85-42EE87E28A78}"/>
    <hyperlink ref="C49" r:id="rId142" display="http://mpgu.su/op/control/client.php?id=46740" xr:uid="{4330B26D-F691-4BA3-8F28-BE4704A029D8}"/>
    <hyperlink ref="D49" r:id="rId143" display="http://mpgu.su/op/control/client.php?id=46740" xr:uid="{A338ADE0-B55F-4DF7-8AAE-AFC10FBDD298}"/>
    <hyperlink ref="E49" r:id="rId144" display="http://mpgu.su/op/control/client.php?id=46740" xr:uid="{CFACC646-6810-4381-9EEF-EDE29E7C1F1A}"/>
    <hyperlink ref="C50" r:id="rId145" display="http://mpgu.su/op/control/client.php?id=46785" xr:uid="{033FE7E1-F9FC-4B2D-A71B-C099A43FB7F1}"/>
    <hyperlink ref="D50" r:id="rId146" display="http://mpgu.su/op/control/client.php?id=46785" xr:uid="{CE3255FC-A36B-47E3-8AF8-DCF436BB4FB8}"/>
    <hyperlink ref="E50" r:id="rId147" display="http://mpgu.su/op/control/client.php?id=46785" xr:uid="{BF74B1BB-250D-43D6-94D3-5AD5632EA57D}"/>
    <hyperlink ref="C51" r:id="rId148" display="http://mpgu.su/op/control/client.php?id=46921" xr:uid="{43AAE790-05C2-4044-8161-F93E7C388D9B}"/>
    <hyperlink ref="D51" r:id="rId149" display="http://mpgu.su/op/control/client.php?id=46921" xr:uid="{F4C795B2-7745-4FF4-B26D-EBE3CDEF96BC}"/>
    <hyperlink ref="E51" r:id="rId150" display="http://mpgu.su/op/control/client.php?id=46921" xr:uid="{DB56B4C4-BF74-4E55-98C9-A4CFBF3DF651}"/>
    <hyperlink ref="C52" r:id="rId151" display="http://mpgu.su/op/control/client.php?id=47105" xr:uid="{3A41E5A0-CC60-4557-A504-5564BF0ED1CC}"/>
    <hyperlink ref="D52" r:id="rId152" display="http://mpgu.su/op/control/client.php?id=47105" xr:uid="{A15D5D26-F759-4686-BD51-7A8D18F7D9A0}"/>
    <hyperlink ref="E52" r:id="rId153" display="http://mpgu.su/op/control/client.php?id=47105" xr:uid="{567CB606-B2F5-4187-A6CB-78FEE737468B}"/>
    <hyperlink ref="C53" r:id="rId154" display="http://mpgu.su/op/control/client.php?id=47210" xr:uid="{1A269981-0749-4E01-80EE-1F164A0FCD5C}"/>
    <hyperlink ref="D53" r:id="rId155" display="http://mpgu.su/op/control/client.php?id=47210" xr:uid="{3625259B-7129-4A3B-8CD3-821610BD7A69}"/>
    <hyperlink ref="E53" r:id="rId156" display="http://mpgu.su/op/control/client.php?id=47210" xr:uid="{59BD88FA-04BA-4EB8-AB90-9E1C6C4250EF}"/>
    <hyperlink ref="C54" r:id="rId157" display="http://mpgu.su/op/control/client.php?id=47219" xr:uid="{FD6A9812-515C-4259-A032-70A9C4595047}"/>
    <hyperlink ref="D54" r:id="rId158" display="http://mpgu.su/op/control/client.php?id=47219" xr:uid="{87291DE6-8814-4F63-904C-7D0B82A9BC8C}"/>
    <hyperlink ref="E54" r:id="rId159" display="http://mpgu.su/op/control/client.php?id=47219" xr:uid="{0FB2F6D2-902D-427A-ABDD-7DA3D89891A3}"/>
    <hyperlink ref="C55" r:id="rId160" display="http://mpgu.su/op/control/client.php?id=47404" xr:uid="{5E4347CB-0EB7-42FB-98FD-8606B952B0D9}"/>
    <hyperlink ref="D55" r:id="rId161" display="http://mpgu.su/op/control/client.php?id=47404" xr:uid="{1AB81BA2-659B-4E03-8240-0C6A80F49961}"/>
    <hyperlink ref="E55" r:id="rId162" display="http://mpgu.su/op/control/client.php?id=47404" xr:uid="{5DF21198-F1FE-4B13-AD10-1DA85EADD7A5}"/>
    <hyperlink ref="C56" r:id="rId163" display="http://mpgu.su/op/control/client.php?id=47535" xr:uid="{8C553056-9ACF-4C8F-848E-954DECFB72C6}"/>
    <hyperlink ref="D56" r:id="rId164" display="http://mpgu.su/op/control/client.php?id=47535" xr:uid="{9BA21C25-307D-4CF9-9B74-2EE294A19309}"/>
    <hyperlink ref="E56" r:id="rId165" display="http://mpgu.su/op/control/client.php?id=47535" xr:uid="{902B2DA0-973F-402F-A85A-4136D0061BE3}"/>
    <hyperlink ref="C57" r:id="rId166" display="http://mpgu.su/op/control/client.php?id=47539" xr:uid="{7A613BC9-9908-4B26-8CCC-68C710612798}"/>
    <hyperlink ref="D57" r:id="rId167" display="http://mpgu.su/op/control/client.php?id=47539" xr:uid="{09DF8FFE-0D2A-4531-B07D-33F1DA01ADCE}"/>
    <hyperlink ref="E57" r:id="rId168" display="http://mpgu.su/op/control/client.php?id=47539" xr:uid="{8DD8C63E-3229-4BEE-98B8-776F7FDAD692}"/>
    <hyperlink ref="C58" r:id="rId169" display="http://mpgu.su/op/control/client.php?id=47555" xr:uid="{CE49202B-AE95-4D3C-AB0E-2009FF7AC673}"/>
    <hyperlink ref="D58" r:id="rId170" display="http://mpgu.su/op/control/client.php?id=47555" xr:uid="{D752B312-BC4B-41E2-8344-4A0B39AA48C9}"/>
    <hyperlink ref="E58" r:id="rId171" display="http://mpgu.su/op/control/client.php?id=47555" xr:uid="{49D1123B-C3EB-4892-88BB-2E102EF6B7D0}"/>
    <hyperlink ref="C59" r:id="rId172" display="http://mpgu.su/op/control/client.php?id=45877" xr:uid="{3B45A5D0-F35C-4BA2-8C13-9FC9B7B3C217}"/>
    <hyperlink ref="D59" r:id="rId173" display="http://mpgu.su/op/control/client.php?id=45877" xr:uid="{993F5CA7-9E40-4161-B3A6-8F521C44FDD2}"/>
    <hyperlink ref="E59" r:id="rId174" display="http://mpgu.su/op/control/client.php?id=45877" xr:uid="{453D6989-9A50-42CE-9CD4-B80D3DE85651}"/>
    <hyperlink ref="C60" r:id="rId175" display="http://mpgu.su/op/control/client.php?id=46880" xr:uid="{87619256-6726-47AC-B287-65691081ED7C}"/>
    <hyperlink ref="D60" r:id="rId176" display="http://mpgu.su/op/control/client.php?id=46880" xr:uid="{39B36421-4415-47AB-96A5-D27B57DACF6F}"/>
    <hyperlink ref="E60" r:id="rId177" display="http://mpgu.su/op/control/client.php?id=46880" xr:uid="{287FEB5D-9AB6-43A0-A9AE-877C8BEE6A6A}"/>
    <hyperlink ref="C61" r:id="rId178" display="http://mpgu.su/op/control/client.php?id=45669" xr:uid="{D84355A0-9BFF-480A-9BC2-D544CD2F54D5}"/>
    <hyperlink ref="D61" r:id="rId179" display="http://mpgu.su/op/control/client.php?id=45669" xr:uid="{D3F759A6-412E-4E60-B3C5-B22B20BA83B9}"/>
    <hyperlink ref="E61" r:id="rId180" display="http://mpgu.su/op/control/client.php?id=45669" xr:uid="{B41E6350-CAC7-42A6-BFAC-CC437F2C24FF}"/>
    <hyperlink ref="C62" r:id="rId181" display="http://mpgu.su/op/control/client.php?id=45994" xr:uid="{C407EC69-78AF-4B8E-89C7-2E144E1FA9DF}"/>
    <hyperlink ref="D62" r:id="rId182" display="http://mpgu.su/op/control/client.php?id=45994" xr:uid="{343A1E15-1BBF-49A5-BDA6-2096AB5A160A}"/>
    <hyperlink ref="E62" r:id="rId183" display="http://mpgu.su/op/control/client.php?id=45994" xr:uid="{336D346A-6296-4066-8442-CB6821FABAAD}"/>
  </hyperlinks>
  <pageMargins left="0.7" right="0.7" top="0.75" bottom="0.75" header="0.3" footer="0.3"/>
  <pageSetup paperSize="9" orientation="portrait" r:id="rId18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Бассараба Наталья Владимировна</dc:creator>
  <cp:lastModifiedBy>Люба Низамутдинова</cp:lastModifiedBy>
  <dcterms:created xsi:type="dcterms:W3CDTF">2026-09-04T09:11:48Z</dcterms:created>
  <dcterms:modified xsi:type="dcterms:W3CDTF">2026-09-07T20:26:55Z</dcterms:modified>
</cp:coreProperties>
</file>